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Tabla" sheetId="2" r:id="rId6"/>
    <sheet state="visible" name="Base_Agregada" sheetId="3" r:id="rId7"/>
    <sheet state="visible" name="Equipos" sheetId="4" r:id="rId8"/>
  </sheets>
  <definedNames/>
  <calcPr/>
</workbook>
</file>

<file path=xl/sharedStrings.xml><?xml version="1.0" encoding="utf-8"?>
<sst xmlns="http://schemas.openxmlformats.org/spreadsheetml/2006/main" count="89" uniqueCount="49">
  <si>
    <t>Timestamp</t>
  </si>
  <si>
    <t>Fecha de deposito</t>
  </si>
  <si>
    <t>Agente</t>
  </si>
  <si>
    <t>Perfilado</t>
  </si>
  <si>
    <t>Ciclo</t>
  </si>
  <si>
    <t>solo o compartido</t>
  </si>
  <si>
    <t>Monto</t>
  </si>
  <si>
    <t>Comprobante</t>
  </si>
  <si>
    <t>Eloy Martinez</t>
  </si>
  <si>
    <t>Chloe Serrano</t>
  </si>
  <si>
    <t>Diamanteaff</t>
  </si>
  <si>
    <t>Solo</t>
  </si>
  <si>
    <t>https://drive.google.com/open?id=18wRhnm-OAYOtX2Qu7mlRV6DaxVYYg1X8</t>
  </si>
  <si>
    <t>Antony Gomez</t>
  </si>
  <si>
    <t>Abril Méndez</t>
  </si>
  <si>
    <t>Byberleadsaff</t>
  </si>
  <si>
    <t>https://drive.google.com/open?id=1-huD4m0tnRuqKX7rOWGfjKeHQKNSegTP</t>
  </si>
  <si>
    <t>Shamanta Correa</t>
  </si>
  <si>
    <t>https://drive.google.com/open?id=1fEH8I_l6ApSSHA6-R5R6rrLeeRftHLlY</t>
  </si>
  <si>
    <t>Julieta López</t>
  </si>
  <si>
    <t>Algoleadsaff</t>
  </si>
  <si>
    <t>Compartido</t>
  </si>
  <si>
    <t>https://drive.google.com/open?id=1rKHzRk6iBVLlKragLTMhTPTvyKGFjkIE</t>
  </si>
  <si>
    <t xml:space="preserve">dia </t>
  </si>
  <si>
    <t>semana</t>
  </si>
  <si>
    <t>mes</t>
  </si>
  <si>
    <t>Jean Paul Martinez</t>
  </si>
  <si>
    <t>Equipos</t>
  </si>
  <si>
    <t>dia</t>
  </si>
  <si>
    <t>Angel David</t>
  </si>
  <si>
    <t>Elite Digital</t>
  </si>
  <si>
    <t>Isaias Martinez</t>
  </si>
  <si>
    <t>Gamer</t>
  </si>
  <si>
    <t>Marcelo Hernandez</t>
  </si>
  <si>
    <t>Zenit Inverts</t>
  </si>
  <si>
    <t>Luis Carlos Ruiz</t>
  </si>
  <si>
    <t>Innova</t>
  </si>
  <si>
    <t>Agatha Hernandez</t>
  </si>
  <si>
    <t>Emily Garcia</t>
  </si>
  <si>
    <t>Natasha Cardona</t>
  </si>
  <si>
    <t>Maria Castro</t>
  </si>
  <si>
    <t>Julio Aguilar</t>
  </si>
  <si>
    <t>Madison Gonzales</t>
  </si>
  <si>
    <t>Abigail Torres</t>
  </si>
  <si>
    <t>Luisa Cifuentes</t>
  </si>
  <si>
    <t>total</t>
  </si>
  <si>
    <t>equipo</t>
  </si>
  <si>
    <t>fecha limpiua</t>
  </si>
  <si>
    <t>equipo limpio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</si>
</sst>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1" numFmtId="1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" displayName="Form_Responses" name="Form_Responses" id="1">
  <tableColumns count="8">
    <tableColumn name="Timestamp" id="1"/>
    <tableColumn name="Fecha de deposito" id="2"/>
    <tableColumn name="Agente" id="3"/>
    <tableColumn name="Perfilado" id="4"/>
    <tableColumn name="Ciclo" id="5"/>
    <tableColumn name="solo o compartido" id="6"/>
    <tableColumn name="Monto" id="7"/>
    <tableColumn name="Comprobante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8wRhnm-OAYOtX2Qu7mlRV6DaxVYYg1X8" TargetMode="External"/><Relationship Id="rId2" Type="http://schemas.openxmlformats.org/officeDocument/2006/relationships/hyperlink" Target="https://drive.google.com/open?id=1-huD4m0tnRuqKX7rOWGfjKeHQKNSegTP" TargetMode="External"/><Relationship Id="rId3" Type="http://schemas.openxmlformats.org/officeDocument/2006/relationships/hyperlink" Target="https://drive.google.com/open?id=1fEH8I_l6ApSSHA6-R5R6rrLeeRftHLlY" TargetMode="External"/><Relationship Id="rId4" Type="http://schemas.openxmlformats.org/officeDocument/2006/relationships/hyperlink" Target="https://drive.google.com/open?id=1rKHzRk6iBVLlKragLTMhTPTvyKGFjkIE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46146.68573199074</v>
      </c>
      <c r="B2" s="3">
        <v>46146.0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1000.0</v>
      </c>
      <c r="H2" s="5" t="s">
        <v>12</v>
      </c>
    </row>
    <row r="3" ht="22.5" customHeight="1">
      <c r="A3" s="6">
        <v>46146.696942870374</v>
      </c>
      <c r="B3" s="7">
        <v>46146.0</v>
      </c>
      <c r="C3" s="8" t="s">
        <v>13</v>
      </c>
      <c r="D3" s="8" t="s">
        <v>14</v>
      </c>
      <c r="E3" s="8" t="s">
        <v>15</v>
      </c>
      <c r="F3" s="8" t="s">
        <v>11</v>
      </c>
      <c r="G3" s="8">
        <v>500.0</v>
      </c>
      <c r="H3" s="9" t="s">
        <v>16</v>
      </c>
    </row>
    <row r="4" ht="22.5" customHeight="1">
      <c r="A4" s="6">
        <v>46146.69744888889</v>
      </c>
      <c r="B4" s="7">
        <v>46146.0</v>
      </c>
      <c r="C4" s="4" t="s">
        <v>8</v>
      </c>
      <c r="D4" s="8" t="s">
        <v>17</v>
      </c>
      <c r="E4" s="8" t="s">
        <v>10</v>
      </c>
      <c r="F4" s="8" t="s">
        <v>11</v>
      </c>
      <c r="G4" s="8">
        <v>520.0</v>
      </c>
      <c r="H4" s="9" t="s">
        <v>18</v>
      </c>
    </row>
    <row r="5" ht="22.5" customHeight="1">
      <c r="A5" s="6">
        <v>46146.69781302083</v>
      </c>
      <c r="B5" s="7">
        <v>46143.0</v>
      </c>
      <c r="C5" s="8" t="s">
        <v>13</v>
      </c>
      <c r="D5" s="8" t="s">
        <v>19</v>
      </c>
      <c r="E5" s="8" t="s">
        <v>20</v>
      </c>
      <c r="F5" s="8" t="s">
        <v>21</v>
      </c>
      <c r="G5" s="8">
        <v>1000.0</v>
      </c>
      <c r="H5" s="9" t="s">
        <v>22</v>
      </c>
    </row>
  </sheetData>
  <hyperlinks>
    <hyperlink r:id="rId1" ref="H2"/>
    <hyperlink r:id="rId2" ref="H3"/>
    <hyperlink r:id="rId3" ref="H4"/>
    <hyperlink r:id="rId4" ref="H5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B1" s="10" t="s">
        <v>23</v>
      </c>
      <c r="C1" s="10" t="s">
        <v>24</v>
      </c>
      <c r="D1" s="10" t="s">
        <v>25</v>
      </c>
    </row>
    <row r="2">
      <c r="A2" s="10" t="s">
        <v>8</v>
      </c>
      <c r="B2" s="11">
        <f>SUMIFS(Base_Agregada!C:C,
Base_Agregada!A:A,A2,
Base_Agregada!B:B,TODAY())</f>
        <v>0</v>
      </c>
      <c r="C2" s="11">
        <f>SUMIFS(
Base_Agregada!C:C,
Base_Agregada!A:A,A2,
Base_Agregada!D:D,WEEKNUM(TODAY(),2)
)</f>
        <v>1520</v>
      </c>
      <c r="D2" s="11">
        <f>SUMIFS(Base_Agregada!C:C,
Base_Agregada!A:A,A2,
Base_Agregada!B:B,"&gt;="&amp;DATE(YEAR(TODAY()),MONTH(TODAY()),1),
Base_Agregada!B:B,"&lt;"&amp;DATE(YEAR(TODAY()),MONTH(TODAY())+1,1))</f>
        <v>1520</v>
      </c>
    </row>
    <row r="3">
      <c r="A3" s="10" t="s">
        <v>13</v>
      </c>
      <c r="B3" s="11">
        <f>SUMIFS(Base_Agregada!C:C,
Base_Agregada!A:A,A3,
Base_Agregada!B:B,TODAY())</f>
        <v>0</v>
      </c>
      <c r="C3" s="11">
        <f>SUMIFS(
Base_Agregada!C:C,
Base_Agregada!A:A,A3,
Base_Agregada!D:D,WEEKNUM(TODAY(),2)
)</f>
        <v>500</v>
      </c>
      <c r="D3" s="11">
        <f>SUMIFS(Base_Agregada!C:C,
Base_Agregada!A:A,A3,
Base_Agregada!B:B,"&gt;="&amp;DATE(YEAR(TODAY()),MONTH(TODAY()),1),
Base_Agregada!B:B,"&lt;"&amp;DATE(YEAR(TODAY()),MONTH(TODAY())+1,1))</f>
        <v>1500</v>
      </c>
    </row>
    <row r="4">
      <c r="A4" s="10" t="s">
        <v>26</v>
      </c>
      <c r="B4" s="11">
        <f>SUMIFS(Base_Agregada!C:C,
Base_Agregada!A:A,A4,
Base_Agregada!B:B,TODAY())</f>
        <v>0</v>
      </c>
      <c r="C4" s="11">
        <f>SUMIFS(
Base_Agregada!C:C,
Base_Agregada!A:A,A4,
Base_Agregada!D:D,WEEKNUM(TODAY(),2)
)</f>
        <v>0</v>
      </c>
      <c r="D4" s="11">
        <f>SUMIFS(Base_Agregada!C:C,
Base_Agregada!A:A,A4,
Base_Agregada!B:B,"&gt;="&amp;DATE(YEAR(TODAY()),MONTH(TODAY()),1),
Base_Agregada!B:B,"&lt;"&amp;DATE(YEAR(TODAY()),MONTH(TODAY())+1,1))</f>
        <v>0</v>
      </c>
      <c r="H4" s="10" t="s">
        <v>27</v>
      </c>
      <c r="I4" s="10" t="s">
        <v>28</v>
      </c>
      <c r="J4" s="10" t="s">
        <v>24</v>
      </c>
      <c r="K4" s="10" t="s">
        <v>25</v>
      </c>
    </row>
    <row r="5">
      <c r="A5" s="10" t="s">
        <v>29</v>
      </c>
      <c r="B5" s="11">
        <f>SUMIFS(Base_Agregada!C:C,
Base_Agregada!A:A,A5,
Base_Agregada!B:B,TODAY())</f>
        <v>0</v>
      </c>
      <c r="C5" s="11">
        <f>SUMIFS(
Base_Agregada!C:C,
Base_Agregada!A:A,A5,
Base_Agregada!D:D,WEEKNUM(TODAY(),2)
)</f>
        <v>0</v>
      </c>
      <c r="D5" s="11">
        <f>SUMIFS(Base_Agregada!C:C,
Base_Agregada!A:A,A5,
Base_Agregada!B:B,"&gt;="&amp;DATE(YEAR(TODAY()),MONTH(TODAY()),1),
Base_Agregada!B:B,"&lt;"&amp;DATE(YEAR(TODAY()),MONTH(TODAY())+1,1))</f>
        <v>0</v>
      </c>
      <c r="H5" s="12" t="s">
        <v>30</v>
      </c>
      <c r="I5" s="11">
        <f>SUMIFS(
Base_Agregada!C:C,
Base_Agregada!G:G,H5,
Base_Agregada!F:F,TODAY()
)</f>
        <v>0</v>
      </c>
      <c r="J5" s="11">
        <f>SUMIFS(
Base_Agregada!C:C,
Base_Agregada!G:G,H5,
Base_Agregada!D:D,WEEKNUM(TODAY(),2)
)</f>
        <v>2020</v>
      </c>
      <c r="K5" s="11">
        <f>SUMIFS(
Base_Agregada!C:C,
Base_Agregada!G:G,H5,
Base_Agregada!F:F,"&gt;="&amp;DATE(YEAR(TODAY()),MONTH(TODAY()),1),
Base_Agregada!F:F,"&lt;"&amp;DATE(YEAR(TODAY()),MONTH(TODAY())+1,1)
)</f>
        <v>3020</v>
      </c>
    </row>
    <row r="6">
      <c r="A6" s="10" t="s">
        <v>31</v>
      </c>
      <c r="B6" s="11">
        <f>SUMIFS(Base_Agregada!C:C,
Base_Agregada!A:A,A6,
Base_Agregada!B:B,TODAY())</f>
        <v>0</v>
      </c>
      <c r="C6" s="11">
        <f>SUMIFS(
Base_Agregada!C:C,
Base_Agregada!A:A,A6,
Base_Agregada!D:D,WEEKNUM(TODAY(),2)
)</f>
        <v>0</v>
      </c>
      <c r="D6" s="11">
        <f>SUMIFS(Base_Agregada!C:C,
Base_Agregada!A:A,A6,
Base_Agregada!B:B,"&gt;="&amp;DATE(YEAR(TODAY()),MONTH(TODAY()),1),
Base_Agregada!B:B,"&lt;"&amp;DATE(YEAR(TODAY()),MONTH(TODAY())+1,1))</f>
        <v>0</v>
      </c>
      <c r="H6" s="12" t="s">
        <v>32</v>
      </c>
      <c r="I6" s="11">
        <f>SUMIFS(
Base_Agregada!C:C,
Base_Agregada!G:G,H6,
Base_Agregada!F:F,TODAY()
)</f>
        <v>0</v>
      </c>
      <c r="J6" s="11">
        <f>SUMIFS(
Base_Agregada!C:C,
Base_Agregada!G:G,H6,
Base_Agregada!D:D,WEEKNUM(TODAY(),2)
)</f>
        <v>0</v>
      </c>
      <c r="K6" s="11">
        <f>SUMIFS(
Base_Agregada!C:C,
Base_Agregada!G:G,H6,
Base_Agregada!F:F,"&gt;="&amp;DATE(YEAR(TODAY()),MONTH(TODAY()),1),
Base_Agregada!F:F,"&lt;"&amp;DATE(YEAR(TODAY()),MONTH(TODAY())+1,1)
)</f>
        <v>0</v>
      </c>
    </row>
    <row r="7">
      <c r="A7" s="10" t="s">
        <v>33</v>
      </c>
      <c r="B7" s="11">
        <f>SUMIFS(Base_Agregada!C:C,
Base_Agregada!A:A,A7,
Base_Agregada!B:B,TODAY())</f>
        <v>0</v>
      </c>
      <c r="C7" s="11">
        <f>SUMIFS(
Base_Agregada!C:C,
Base_Agregada!A:A,A7,
Base_Agregada!D:D,WEEKNUM(TODAY(),2)
)</f>
        <v>0</v>
      </c>
      <c r="D7" s="11">
        <f>SUMIFS(Base_Agregada!C:C,
Base_Agregada!A:A,A7,
Base_Agregada!B:B,"&gt;="&amp;DATE(YEAR(TODAY()),MONTH(TODAY()),1),
Base_Agregada!B:B,"&lt;"&amp;DATE(YEAR(TODAY()),MONTH(TODAY())+1,1))</f>
        <v>0</v>
      </c>
      <c r="H7" s="12" t="s">
        <v>34</v>
      </c>
      <c r="I7" s="11">
        <f>SUMIFS(
Base_Agregada!C:C,
Base_Agregada!G:G,H7,
Base_Agregada!F:F,TODAY()
)</f>
        <v>0</v>
      </c>
      <c r="J7" s="11">
        <f>SUMIFS(
Base_Agregada!C:C,
Base_Agregada!G:G,H7,
Base_Agregada!D:D,WEEKNUM(TODAY(),2)
)</f>
        <v>0</v>
      </c>
      <c r="K7" s="11">
        <f>SUMIFS(
Base_Agregada!C:C,
Base_Agregada!G:G,H7,
Base_Agregada!F:F,"&gt;="&amp;DATE(YEAR(TODAY()),MONTH(TODAY()),1),
Base_Agregada!F:F,"&lt;"&amp;DATE(YEAR(TODAY()),MONTH(TODAY())+1,1)
)</f>
        <v>0</v>
      </c>
    </row>
    <row r="8">
      <c r="A8" s="10" t="s">
        <v>35</v>
      </c>
      <c r="B8" s="11">
        <f>SUMIFS(Base_Agregada!C:C,
Base_Agregada!A:A,A8,
Base_Agregada!B:B,TODAY())</f>
        <v>0</v>
      </c>
      <c r="C8" s="11">
        <f>SUMIFS(
Base_Agregada!C:C,
Base_Agregada!A:A,A8,
Base_Agregada!D:D,WEEKNUM(TODAY(),2)
)</f>
        <v>0</v>
      </c>
      <c r="D8" s="11">
        <f>SUMIFS(Base_Agregada!C:C,
Base_Agregada!A:A,A8,
Base_Agregada!B:B,"&gt;="&amp;DATE(YEAR(TODAY()),MONTH(TODAY()),1),
Base_Agregada!B:B,"&lt;"&amp;DATE(YEAR(TODAY()),MONTH(TODAY())+1,1))</f>
        <v>0</v>
      </c>
      <c r="H8" s="12" t="s">
        <v>36</v>
      </c>
      <c r="I8" s="11">
        <f>SUMIFS(
Base_Agregada!C:C,
Base_Agregada!G:G,H8,
Base_Agregada!F:F,TODAY()
)</f>
        <v>0</v>
      </c>
      <c r="J8" s="11">
        <f>SUMIFS(
Base_Agregada!C:C,
Base_Agregada!G:G,H8,
Base_Agregada!D:D,WEEKNUM(TODAY(),2)
)</f>
        <v>0</v>
      </c>
      <c r="K8" s="11">
        <f>SUMIFS(
Base_Agregada!C:C,
Base_Agregada!G:G,H8,
Base_Agregada!F:F,"&gt;="&amp;DATE(YEAR(TODAY()),MONTH(TODAY()),1),
Base_Agregada!F:F,"&lt;"&amp;DATE(YEAR(TODAY()),MONTH(TODAY())+1,1)
)</f>
        <v>0</v>
      </c>
    </row>
    <row r="9">
      <c r="A9" s="10" t="s">
        <v>37</v>
      </c>
      <c r="B9" s="11">
        <f>SUMIFS(Base_Agregada!C:C,
Base_Agregada!A:A,A9,
Base_Agregada!B:B,TODAY())</f>
        <v>0</v>
      </c>
      <c r="C9" s="11">
        <f>SUMIFS(
Base_Agregada!C:C,
Base_Agregada!A:A,A9,
Base_Agregada!D:D,WEEKNUM(TODAY(),2)
)</f>
        <v>0</v>
      </c>
      <c r="D9" s="11">
        <f>SUMIFS(Base_Agregada!C:C,
Base_Agregada!A:A,A9,
Base_Agregada!B:B,"&gt;="&amp;DATE(YEAR(TODAY()),MONTH(TODAY()),1),
Base_Agregada!B:B,"&lt;"&amp;DATE(YEAR(TODAY()),MONTH(TODAY())+1,1))</f>
        <v>0</v>
      </c>
    </row>
    <row r="10">
      <c r="A10" s="10" t="s">
        <v>38</v>
      </c>
      <c r="B10" s="11">
        <f>SUMIFS(Base_Agregada!C:C,
Base_Agregada!A:A,A10,
Base_Agregada!B:B,TODAY())</f>
        <v>0</v>
      </c>
      <c r="C10" s="11">
        <f>SUMIFS(
Base_Agregada!C:C,
Base_Agregada!A:A,A10,
Base_Agregada!D:D,WEEKNUM(TODAY(),2)
)</f>
        <v>0</v>
      </c>
      <c r="D10" s="11">
        <f>SUMIFS(Base_Agregada!C:C,
Base_Agregada!A:A,A10,
Base_Agregada!B:B,"&gt;="&amp;DATE(YEAR(TODAY()),MONTH(TODAY()),1),
Base_Agregada!B:B,"&lt;"&amp;DATE(YEAR(TODAY()),MONTH(TODAY())+1,1))</f>
        <v>0</v>
      </c>
    </row>
    <row r="11">
      <c r="A11" s="10" t="s">
        <v>39</v>
      </c>
      <c r="B11" s="11">
        <f>SUMIFS(Base_Agregada!C:C,
Base_Agregada!A:A,A11,
Base_Agregada!B:B,TODAY())</f>
        <v>0</v>
      </c>
      <c r="C11" s="11">
        <f>SUMIFS(
Base_Agregada!C:C,
Base_Agregada!A:A,A11,
Base_Agregada!D:D,WEEKNUM(TODAY(),2)
)</f>
        <v>0</v>
      </c>
      <c r="D11" s="11">
        <f>SUMIFS(Base_Agregada!C:C,
Base_Agregada!A:A,A11,
Base_Agregada!B:B,"&gt;="&amp;DATE(YEAR(TODAY()),MONTH(TODAY()),1),
Base_Agregada!B:B,"&lt;"&amp;DATE(YEAR(TODAY()),MONTH(TODAY())+1,1))</f>
        <v>0</v>
      </c>
    </row>
    <row r="12">
      <c r="A12" s="10" t="s">
        <v>40</v>
      </c>
      <c r="B12" s="11">
        <f>SUMIFS(Base_Agregada!C:C,
Base_Agregada!A:A,A12,
Base_Agregada!B:B,TODAY())</f>
        <v>0</v>
      </c>
      <c r="C12" s="11">
        <f>SUMIFS(
Base_Agregada!C:C,
Base_Agregada!A:A,A12,
Base_Agregada!D:D,WEEKNUM(TODAY(),2)
)</f>
        <v>0</v>
      </c>
      <c r="D12" s="11">
        <f>SUMIFS(Base_Agregada!C:C,
Base_Agregada!A:A,A12,
Base_Agregada!B:B,"&gt;="&amp;DATE(YEAR(TODAY()),MONTH(TODAY()),1),
Base_Agregada!B:B,"&lt;"&amp;DATE(YEAR(TODAY()),MONTH(TODAY())+1,1))</f>
        <v>0</v>
      </c>
    </row>
    <row r="13">
      <c r="A13" s="10" t="s">
        <v>41</v>
      </c>
      <c r="B13" s="11">
        <f>SUMIFS(Base_Agregada!C:C,
Base_Agregada!A:A,A13,
Base_Agregada!B:B,TODAY())</f>
        <v>0</v>
      </c>
      <c r="C13" s="11">
        <f>SUMIFS(
Base_Agregada!C:C,
Base_Agregada!A:A,A13,
Base_Agregada!D:D,WEEKNUM(TODAY(),2)
)</f>
        <v>0</v>
      </c>
      <c r="D13" s="11">
        <f>SUMIFS(Base_Agregada!C:C,
Base_Agregada!A:A,A13,
Base_Agregada!B:B,"&gt;="&amp;DATE(YEAR(TODAY()),MONTH(TODAY()),1),
Base_Agregada!B:B,"&lt;"&amp;DATE(YEAR(TODAY()),MONTH(TODAY())+1,1))</f>
        <v>0</v>
      </c>
    </row>
    <row r="14">
      <c r="A14" s="10" t="s">
        <v>42</v>
      </c>
      <c r="B14" s="11">
        <f>SUMIFS(Base_Agregada!C:C,
Base_Agregada!A:A,A14,
Base_Agregada!B:B,TODAY())</f>
        <v>0</v>
      </c>
      <c r="C14" s="11">
        <f>SUMIFS(
Base_Agregada!C:C,
Base_Agregada!A:A,A14,
Base_Agregada!D:D,WEEKNUM(TODAY(),2)
)</f>
        <v>0</v>
      </c>
      <c r="D14" s="11">
        <f>SUMIFS(Base_Agregada!C:C,
Base_Agregada!A:A,A14,
Base_Agregada!B:B,"&gt;="&amp;DATE(YEAR(TODAY()),MONTH(TODAY()),1),
Base_Agregada!B:B,"&lt;"&amp;DATE(YEAR(TODAY()),MONTH(TODAY())+1,1))</f>
        <v>0</v>
      </c>
    </row>
    <row r="15">
      <c r="A15" s="10" t="s">
        <v>43</v>
      </c>
      <c r="B15" s="11">
        <f>SUMIFS(Base_Agregada!C:C,
Base_Agregada!A:A,A15,
Base_Agregada!B:B,TODAY())</f>
        <v>0</v>
      </c>
      <c r="C15" s="11">
        <f>SUMIFS(
Base_Agregada!C:C,
Base_Agregada!A:A,A15,
Base_Agregada!D:D,WEEKNUM(TODAY(),2)
)</f>
        <v>0</v>
      </c>
      <c r="D15" s="11">
        <f>SUMIFS(Base_Agregada!C:C,
Base_Agregada!A:A,A15,
Base_Agregada!B:B,"&gt;="&amp;DATE(YEAR(TODAY()),MONTH(TODAY()),1),
Base_Agregada!B:B,"&lt;"&amp;DATE(YEAR(TODAY()),MONTH(TODAY())+1,1))</f>
        <v>0</v>
      </c>
    </row>
    <row r="16">
      <c r="A16" s="10" t="s">
        <v>44</v>
      </c>
      <c r="B16" s="11">
        <f>SUMIFS(Base_Agregada!C:C,
Base_Agregada!A:A,A16,
Base_Agregada!B:B,TODAY())</f>
        <v>0</v>
      </c>
      <c r="C16" s="11">
        <f>SUMIFS(
Base_Agregada!C:C,
Base_Agregada!A:A,A16,
Base_Agregada!D:D,WEEKNUM(TODAY(),2)
)</f>
        <v>0</v>
      </c>
      <c r="D16" s="11">
        <f>SUMIFS(Base_Agregada!C:C,
Base_Agregada!A:A,A16,
Base_Agregada!B:B,"&gt;="&amp;DATE(YEAR(TODAY()),MONTH(TODAY()),1),
Base_Agregada!B:B,"&lt;"&amp;DATE(YEAR(TODAY()),MONTH(TODAY())+1,1))</f>
        <v>0</v>
      </c>
    </row>
    <row r="17">
      <c r="A17" s="10" t="s">
        <v>45</v>
      </c>
      <c r="B17" s="11">
        <f t="shared" ref="B17:D17" si="1">SUM(B2:B16)</f>
        <v>0</v>
      </c>
      <c r="C17" s="11">
        <f t="shared" si="1"/>
        <v>2020</v>
      </c>
      <c r="D17" s="11">
        <f t="shared" si="1"/>
        <v>3020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4.75"/>
    <col customWidth="1" min="4" max="4" width="20.13"/>
  </cols>
  <sheetData>
    <row r="2">
      <c r="A2" s="11" t="str">
        <f>IFERROR(__xludf.DUMMYFUNCTION("QUERY('Form Responses 1'!A:H,
""SELECT C, B, SUM(G)
WHERE G IS NOT NULL
GROUP BY C, B
LABEL C 'Agente', B 'Fecha', SUM(G) 'Monto'"",1)"),"Agente")</f>
        <v>Agente</v>
      </c>
      <c r="B2" s="11" t="str">
        <f>IFERROR(__xludf.DUMMYFUNCTION("""COMPUTED_VALUE"""),"Fecha")</f>
        <v>Fecha</v>
      </c>
      <c r="C2" s="11" t="str">
        <f>IFERROR(__xludf.DUMMYFUNCTION("""COMPUTED_VALUE"""),"Monto")</f>
        <v>Monto</v>
      </c>
      <c r="D2" s="10" t="s">
        <v>24</v>
      </c>
      <c r="E2" s="10" t="s">
        <v>46</v>
      </c>
      <c r="F2" s="10" t="s">
        <v>47</v>
      </c>
      <c r="G2" s="10" t="s">
        <v>48</v>
      </c>
    </row>
    <row r="3">
      <c r="A3" s="11" t="str">
        <f>IFERROR(__xludf.DUMMYFUNCTION("""COMPUTED_VALUE"""),"Antony Gomez")</f>
        <v>Antony Gomez</v>
      </c>
      <c r="B3" s="13">
        <f>IFERROR(__xludf.DUMMYFUNCTION("""COMPUTED_VALUE"""),46143.0)</f>
        <v>46143</v>
      </c>
      <c r="C3" s="11">
        <f>IFERROR(__xludf.DUMMYFUNCTION("""COMPUTED_VALUE"""),1000.0)</f>
        <v>1000</v>
      </c>
      <c r="D3" s="11">
        <f t="shared" ref="D3:D5" si="1">WEEKNUM(B3,2)</f>
        <v>18</v>
      </c>
      <c r="E3" s="11" t="str">
        <f>VLOOKUP(A3,Equipos!A:B,2,FALSE)</f>
        <v>Elite Digital</v>
      </c>
      <c r="F3" s="11">
        <f t="shared" ref="F3:F5" si="2">INT(B3)</f>
        <v>46143</v>
      </c>
      <c r="G3" s="11" t="str">
        <f t="shared" ref="G3:G5" si="3">TRIM(UPPER(E3))</f>
        <v>ELITE DIGITAL</v>
      </c>
    </row>
    <row r="4">
      <c r="A4" s="11" t="str">
        <f>IFERROR(__xludf.DUMMYFUNCTION("""COMPUTED_VALUE"""),"Antony Gomez")</f>
        <v>Antony Gomez</v>
      </c>
      <c r="B4" s="13">
        <f>IFERROR(__xludf.DUMMYFUNCTION("""COMPUTED_VALUE"""),46146.0)</f>
        <v>46146</v>
      </c>
      <c r="C4" s="11">
        <f>IFERROR(__xludf.DUMMYFUNCTION("""COMPUTED_VALUE"""),500.0)</f>
        <v>500</v>
      </c>
      <c r="D4" s="11">
        <f t="shared" si="1"/>
        <v>19</v>
      </c>
      <c r="E4" s="11" t="str">
        <f>VLOOKUP(A4,Equipos!A:B,2,FALSE)</f>
        <v>Elite Digital</v>
      </c>
      <c r="F4" s="11">
        <f t="shared" si="2"/>
        <v>46146</v>
      </c>
      <c r="G4" s="11" t="str">
        <f t="shared" si="3"/>
        <v>ELITE DIGITAL</v>
      </c>
    </row>
    <row r="5">
      <c r="A5" s="11" t="str">
        <f>IFERROR(__xludf.DUMMYFUNCTION("""COMPUTED_VALUE"""),"Eloy Martinez")</f>
        <v>Eloy Martinez</v>
      </c>
      <c r="B5" s="13">
        <f>IFERROR(__xludf.DUMMYFUNCTION("""COMPUTED_VALUE"""),46146.0)</f>
        <v>46146</v>
      </c>
      <c r="C5" s="11">
        <f>IFERROR(__xludf.DUMMYFUNCTION("""COMPUTED_VALUE"""),1520.0)</f>
        <v>1520</v>
      </c>
      <c r="D5" s="11">
        <f t="shared" si="1"/>
        <v>19</v>
      </c>
      <c r="E5" s="11" t="str">
        <f>VLOOKUP(A5,Equipos!A:B,2,FALSE)</f>
        <v>Elite Digital</v>
      </c>
      <c r="F5" s="11">
        <f t="shared" si="2"/>
        <v>46146</v>
      </c>
      <c r="G5" s="11" t="str">
        <f t="shared" si="3"/>
        <v>ELITE DIGITAL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0" t="s">
        <v>8</v>
      </c>
      <c r="B1" s="10" t="s">
        <v>30</v>
      </c>
    </row>
    <row r="2">
      <c r="A2" s="10" t="s">
        <v>13</v>
      </c>
      <c r="B2" s="10" t="s">
        <v>30</v>
      </c>
    </row>
    <row r="3">
      <c r="A3" s="10" t="s">
        <v>26</v>
      </c>
      <c r="B3" s="10" t="s">
        <v>30</v>
      </c>
    </row>
    <row r="4">
      <c r="A4" s="10" t="s">
        <v>29</v>
      </c>
      <c r="B4" s="10" t="s">
        <v>30</v>
      </c>
    </row>
    <row r="5">
      <c r="A5" s="10" t="s">
        <v>31</v>
      </c>
      <c r="B5" s="10" t="s">
        <v>32</v>
      </c>
    </row>
    <row r="6">
      <c r="A6" s="10" t="s">
        <v>33</v>
      </c>
      <c r="B6" s="10" t="s">
        <v>32</v>
      </c>
    </row>
    <row r="7">
      <c r="A7" s="10" t="s">
        <v>35</v>
      </c>
      <c r="B7" s="10" t="s">
        <v>32</v>
      </c>
    </row>
    <row r="8">
      <c r="A8" s="10" t="s">
        <v>37</v>
      </c>
      <c r="B8" s="10" t="s">
        <v>34</v>
      </c>
    </row>
    <row r="9">
      <c r="A9" s="10" t="s">
        <v>38</v>
      </c>
      <c r="B9" s="10" t="s">
        <v>34</v>
      </c>
    </row>
    <row r="10">
      <c r="A10" s="10" t="s">
        <v>39</v>
      </c>
      <c r="B10" s="10" t="s">
        <v>34</v>
      </c>
    </row>
    <row r="11">
      <c r="A11" s="10" t="s">
        <v>40</v>
      </c>
      <c r="B11" s="10" t="s">
        <v>34</v>
      </c>
    </row>
    <row r="12">
      <c r="A12" s="10" t="s">
        <v>41</v>
      </c>
      <c r="B12" s="10" t="s">
        <v>34</v>
      </c>
    </row>
    <row r="13">
      <c r="A13" s="10" t="s">
        <v>42</v>
      </c>
      <c r="B13" s="10" t="s">
        <v>36</v>
      </c>
    </row>
    <row r="14">
      <c r="A14" s="10" t="s">
        <v>43</v>
      </c>
      <c r="B14" s="10" t="s">
        <v>36</v>
      </c>
    </row>
    <row r="15">
      <c r="A15" s="10" t="s">
        <v>44</v>
      </c>
      <c r="B15" s="10" t="s">
        <v>36</v>
      </c>
    </row>
  </sheetData>
  <drawing r:id="rId1"/>
</worksheet>
</file>