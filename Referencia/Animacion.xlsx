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ne\Downloads\"/>
    </mc:Choice>
  </mc:AlternateContent>
  <xr:revisionPtr revIDLastSave="0" documentId="13_ncr:1_{BB8E3307-7CA9-435A-9F14-AFA60F4717D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1" r:id="rId1"/>
    <sheet name="Hoja 2" sheetId="2" r:id="rId2"/>
  </sheets>
  <definedNames>
    <definedName name="_xlnm._FilterDatabase" localSheetId="1" hidden="1">'Hoja 2'!$B$1:$L$125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7" i="1"/>
  <c r="E17" i="1" s="1"/>
  <c r="C16" i="1"/>
  <c r="C15" i="1"/>
  <c r="E15" i="1" s="1"/>
  <c r="C14" i="1"/>
  <c r="E14" i="1" s="1"/>
  <c r="C13" i="1"/>
  <c r="E13" i="1" s="1"/>
  <c r="C12" i="1"/>
  <c r="E12" i="1" s="1"/>
  <c r="C11" i="1"/>
  <c r="E11" i="1" s="1"/>
  <c r="J4" i="1" s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C3" i="1"/>
  <c r="C18" i="1" l="1"/>
  <c r="E3" i="1"/>
  <c r="E18" i="1" l="1"/>
  <c r="J3" i="1"/>
</calcChain>
</file>

<file path=xl/sharedStrings.xml><?xml version="1.0" encoding="utf-8"?>
<sst xmlns="http://schemas.openxmlformats.org/spreadsheetml/2006/main" count="387" uniqueCount="115">
  <si>
    <t>Agente</t>
  </si>
  <si>
    <t>Monto</t>
  </si>
  <si>
    <t>Retiros</t>
  </si>
  <si>
    <t>Total</t>
  </si>
  <si>
    <t>Mesa 1</t>
  </si>
  <si>
    <t>Mesa 2</t>
  </si>
  <si>
    <t>No°</t>
  </si>
  <si>
    <t>AGENTE</t>
  </si>
  <si>
    <t>TP</t>
  </si>
  <si>
    <t>CLIENTE</t>
  </si>
  <si>
    <t>FECHA REALIZADO</t>
  </si>
  <si>
    <t>COBRO</t>
  </si>
  <si>
    <t>EQUIPO</t>
  </si>
  <si>
    <t>CAMPAÑA</t>
  </si>
  <si>
    <t>METODO</t>
  </si>
  <si>
    <t>FECHA INGRESO</t>
  </si>
  <si>
    <t>MONTO</t>
  </si>
  <si>
    <t>Roman Cruz Perez</t>
  </si>
  <si>
    <t>Valentin Guerra Cansino</t>
  </si>
  <si>
    <t>Hector Armando Escoto Jauregui</t>
  </si>
  <si>
    <t>Efren</t>
  </si>
  <si>
    <t>Aidita Rojas</t>
  </si>
  <si>
    <t>Binance</t>
  </si>
  <si>
    <t>Carmen Jesus Acudia</t>
  </si>
  <si>
    <t>Eutiquio Garcia</t>
  </si>
  <si>
    <t>Gerardo Escamilla</t>
  </si>
  <si>
    <t>David Humberto Morales</t>
  </si>
  <si>
    <t>Victor Adolfo Yanez</t>
  </si>
  <si>
    <t>Daria Pena Guillermo</t>
  </si>
  <si>
    <t>Felipe Arano Ramirez</t>
  </si>
  <si>
    <t>Maria de los Angeles Gonzalez</t>
  </si>
  <si>
    <t>Javier Sanchez</t>
  </si>
  <si>
    <t>Anatolio Fernandez</t>
  </si>
  <si>
    <t>Silvia Casas Dominguez</t>
  </si>
  <si>
    <t>David Ramirez</t>
  </si>
  <si>
    <t>Feliciano Rodriguez Lopez</t>
  </si>
  <si>
    <t>Ivan Rodriguez</t>
  </si>
  <si>
    <t>Maria Virignia Padilla</t>
  </si>
  <si>
    <t>Maximo Amado Rios</t>
  </si>
  <si>
    <t>Western U</t>
  </si>
  <si>
    <t>Maria Virginia Padilla</t>
  </si>
  <si>
    <t>Andres Ramon G</t>
  </si>
  <si>
    <t>Efrain Naranjo Cortes</t>
  </si>
  <si>
    <t>German Reyes</t>
  </si>
  <si>
    <t>Avi Cris</t>
  </si>
  <si>
    <t>Ignacia Cabra Huerta</t>
  </si>
  <si>
    <t>Jose Luis Sanchez</t>
  </si>
  <si>
    <t>Marco Antonio Ruiz Vera</t>
  </si>
  <si>
    <t>Victor Romulo Flores Rojas</t>
  </si>
  <si>
    <t>Juan Morales</t>
  </si>
  <si>
    <t>Roberto Requejo</t>
  </si>
  <si>
    <t>Samuel Ramos</t>
  </si>
  <si>
    <t>Escolastico Avila Coila</t>
  </si>
  <si>
    <t>Miguel Perez</t>
  </si>
  <si>
    <t>Usuario 1</t>
  </si>
  <si>
    <t>Usuario 2</t>
  </si>
  <si>
    <t>Usuario 3</t>
  </si>
  <si>
    <t>Usuario 4</t>
  </si>
  <si>
    <t>Usuario 5</t>
  </si>
  <si>
    <t>Usuario 6</t>
  </si>
  <si>
    <t>Usuario 7</t>
  </si>
  <si>
    <t>Usuario 8</t>
  </si>
  <si>
    <t>Persona 1</t>
  </si>
  <si>
    <t>Persona 2</t>
  </si>
  <si>
    <t>Persona 3</t>
  </si>
  <si>
    <t>Persona 4</t>
  </si>
  <si>
    <t>Persona 5</t>
  </si>
  <si>
    <t>Persona 6</t>
  </si>
  <si>
    <t>Persona 7</t>
  </si>
  <si>
    <t>Facebook1</t>
  </si>
  <si>
    <t>Publicidad2</t>
  </si>
  <si>
    <t>Publicidad vieja</t>
  </si>
  <si>
    <t>Facebook2</t>
  </si>
  <si>
    <t>Publicidad3</t>
  </si>
  <si>
    <t>Facebook3</t>
  </si>
  <si>
    <t>Publicidad4</t>
  </si>
  <si>
    <t>Facebook4</t>
  </si>
  <si>
    <t>Publicidad5</t>
  </si>
  <si>
    <t>Facebook5</t>
  </si>
  <si>
    <t>Publicidad6</t>
  </si>
  <si>
    <t>Facebook6</t>
  </si>
  <si>
    <t>Publicidad7</t>
  </si>
  <si>
    <t>Facebook7</t>
  </si>
  <si>
    <t>Publicidad8</t>
  </si>
  <si>
    <t>Facebook8</t>
  </si>
  <si>
    <t>Publicidad9</t>
  </si>
  <si>
    <t>Facebook9</t>
  </si>
  <si>
    <t>Publicidad10</t>
  </si>
  <si>
    <t>Facebook10</t>
  </si>
  <si>
    <t>Publicidad11</t>
  </si>
  <si>
    <t>Facebook11</t>
  </si>
  <si>
    <t>Publicidad12</t>
  </si>
  <si>
    <t>Facebook12</t>
  </si>
  <si>
    <t>Publicidad13</t>
  </si>
  <si>
    <t>Facebook13</t>
  </si>
  <si>
    <t>Publicidad14</t>
  </si>
  <si>
    <t>Facebook14</t>
  </si>
  <si>
    <t>Publicidad15</t>
  </si>
  <si>
    <t>Facebook15</t>
  </si>
  <si>
    <t>Publicidad16</t>
  </si>
  <si>
    <t>Facebook16</t>
  </si>
  <si>
    <t>Publicidad17</t>
  </si>
  <si>
    <t>Facebook17</t>
  </si>
  <si>
    <t>Publicidad18</t>
  </si>
  <si>
    <t>Facebook18</t>
  </si>
  <si>
    <t>Publicidad19</t>
  </si>
  <si>
    <t>Facebook19</t>
  </si>
  <si>
    <t>Publicidad20</t>
  </si>
  <si>
    <t>Facebook20</t>
  </si>
  <si>
    <t>Publicidad21</t>
  </si>
  <si>
    <t>Solo</t>
  </si>
  <si>
    <t>Compartido</t>
  </si>
  <si>
    <t>TL 1</t>
  </si>
  <si>
    <t>Tl 2</t>
  </si>
  <si>
    <t>Pasarela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</si>
</sst>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_-&quot;$&quot;* #,##0_-;_-&quot;$&quot;* \-#,##0_-;_-&quot;$&quot;* &quot;-&quot;??_-;_-@"/>
    <numFmt numFmtId="166" formatCode="dd\-mm\-yyyy"/>
  </numFmts>
  <fonts count="1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rgb="FF000000"/>
      <name val="Arial"/>
      <family val="2"/>
      <scheme val="minor"/>
    </font>
    <font>
      <sz val="12"/>
      <color theme="1"/>
      <name val="Calibri"/>
      <family val="2"/>
    </font>
    <font>
      <sz val="8"/>
      <name val="Arial"/>
      <family val="2"/>
      <scheme val="minor"/>
    </font>
    <font>
      <b/>
      <sz val="12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80808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80808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808080"/>
      </right>
      <top style="thin">
        <color rgb="FF000000"/>
      </top>
      <bottom style="thin">
        <color rgb="FF000000"/>
      </bottom>
      <diagonal/>
    </border>
    <border>
      <left style="hair">
        <color rgb="FF808080"/>
      </left>
      <right style="hair">
        <color rgb="FF80808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808080"/>
      </left>
      <right style="hair">
        <color rgb="FF80808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164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4" borderId="0" xfId="0" applyFont="1" applyFill="1"/>
    <xf numFmtId="164" fontId="1" fillId="0" borderId="4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2" fillId="0" borderId="0" xfId="0" applyNumberFormat="1" applyFont="1"/>
    <xf numFmtId="3" fontId="2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5" fillId="4" borderId="0" xfId="0" applyFont="1" applyFill="1"/>
    <xf numFmtId="0" fontId="6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6" fontId="7" fillId="0" borderId="11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6" fillId="0" borderId="13" xfId="0" applyNumberFormat="1" applyFont="1" applyBorder="1" applyAlignment="1">
      <alignment horizontal="right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165" fontId="6" fillId="0" borderId="13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8" fillId="4" borderId="0" xfId="0" applyFont="1" applyFill="1"/>
    <xf numFmtId="0" fontId="1" fillId="0" borderId="0" xfId="0" applyFont="1" applyAlignment="1">
      <alignment horizontal="center"/>
    </xf>
    <xf numFmtId="0" fontId="5" fillId="0" borderId="0" xfId="0" applyFont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5" fontId="2" fillId="0" borderId="0" xfId="0" applyNumberFormat="1" applyFont="1"/>
    <xf numFmtId="0" fontId="1" fillId="4" borderId="0" xfId="0" applyFont="1" applyFill="1"/>
    <xf numFmtId="0" fontId="0" fillId="0" borderId="0" xfId="0"/>
    <xf numFmtId="0" fontId="1" fillId="2" borderId="0" xfId="0" applyFont="1" applyFill="1"/>
    <xf numFmtId="0" fontId="2" fillId="4" borderId="0" xfId="0" applyFont="1" applyFill="1"/>
    <xf numFmtId="0" fontId="5" fillId="4" borderId="0" xfId="0" applyFont="1" applyFill="1"/>
    <xf numFmtId="0" fontId="8" fillId="4" borderId="0" xfId="0" applyFont="1" applyFill="1"/>
    <xf numFmtId="0" fontId="9" fillId="0" borderId="15" xfId="0" applyFont="1" applyBorder="1" applyAlignment="1">
      <alignment wrapText="1"/>
    </xf>
    <xf numFmtId="0" fontId="10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3" fillId="3" borderId="21" xfId="0" applyNumberFormat="1" applyFont="1" applyFill="1" applyBorder="1" applyAlignment="1">
      <alignment horizontal="center"/>
    </xf>
    <xf numFmtId="3" fontId="3" fillId="3" borderId="21" xfId="0" applyNumberFormat="1" applyFont="1" applyFill="1" applyBorder="1" applyAlignment="1">
      <alignment horizontal="center"/>
    </xf>
    <xf numFmtId="0" fontId="13" fillId="0" borderId="22" xfId="0" applyFont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01"/>
  <sheetViews>
    <sheetView tabSelected="1" workbookViewId="0">
      <selection activeCell="F28" sqref="F28"/>
    </sheetView>
  </sheetViews>
  <sheetFormatPr defaultColWidth="12.5703125" defaultRowHeight="15.75" customHeight="1" x14ac:dyDescent="0.2"/>
  <cols>
    <col min="1" max="1" width="3.42578125" customWidth="1"/>
    <col min="2" max="2" width="19.42578125" customWidth="1"/>
    <col min="3" max="6" width="10.5703125" customWidth="1"/>
    <col min="7" max="8" width="1.28515625" customWidth="1"/>
  </cols>
  <sheetData>
    <row r="1" spans="1:49" ht="15.75" customHeight="1" x14ac:dyDescent="0.25">
      <c r="A1" s="1"/>
      <c r="B1" s="1"/>
      <c r="C1" s="2"/>
      <c r="D1" s="2"/>
      <c r="E1" s="3"/>
      <c r="F1" s="2"/>
      <c r="G1" s="1"/>
      <c r="H1" s="43"/>
      <c r="I1" s="42"/>
      <c r="J1" s="1"/>
      <c r="K1" s="43"/>
      <c r="L1" s="42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ht="15.75" customHeight="1" x14ac:dyDescent="0.3">
      <c r="A2" s="1"/>
      <c r="B2" s="6" t="s">
        <v>0</v>
      </c>
      <c r="C2" s="6" t="s">
        <v>1</v>
      </c>
      <c r="D2" s="6" t="s">
        <v>2</v>
      </c>
      <c r="E2" s="7" t="s">
        <v>3</v>
      </c>
      <c r="F2" s="8"/>
      <c r="G2" s="9"/>
      <c r="H2" s="9"/>
      <c r="I2" s="9"/>
      <c r="J2" s="9"/>
      <c r="K2" s="9"/>
      <c r="L2" s="9"/>
      <c r="M2" s="9"/>
      <c r="N2" s="44"/>
      <c r="O2" s="42"/>
      <c r="P2" s="9"/>
      <c r="Q2" s="44"/>
      <c r="R2" s="42"/>
      <c r="S2" s="9"/>
      <c r="T2" s="44"/>
      <c r="U2" s="42"/>
      <c r="V2" s="9"/>
      <c r="W2" s="44"/>
      <c r="X2" s="42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ht="15.75" customHeight="1" x14ac:dyDescent="0.25">
      <c r="A3" s="1"/>
      <c r="B3" s="51" t="s">
        <v>54</v>
      </c>
      <c r="C3" s="52">
        <f>SUMIFS('Hoja 2'!L:L,'Hoja 2'!C:C,B3)</f>
        <v>0</v>
      </c>
      <c r="D3" s="52">
        <v>0</v>
      </c>
      <c r="E3" s="52">
        <f t="shared" ref="E3:E15" si="0">C3-D3</f>
        <v>0</v>
      </c>
      <c r="F3" s="10"/>
      <c r="G3" s="9"/>
      <c r="H3" s="9"/>
      <c r="I3" s="11" t="s">
        <v>4</v>
      </c>
      <c r="J3" s="12">
        <f>SUM(E3:E10)</f>
        <v>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ht="15.75" customHeight="1" x14ac:dyDescent="0.25">
      <c r="A4" s="1"/>
      <c r="B4" s="50" t="s">
        <v>55</v>
      </c>
      <c r="C4" s="53">
        <f>SUMIFS('Hoja 2'!L:L,'Hoja 2'!C:C,B4)</f>
        <v>0</v>
      </c>
      <c r="D4" s="53">
        <v>0</v>
      </c>
      <c r="E4" s="53">
        <f t="shared" si="0"/>
        <v>0</v>
      </c>
      <c r="F4" s="13"/>
      <c r="G4" s="9"/>
      <c r="H4" s="9"/>
      <c r="I4" s="11" t="s">
        <v>5</v>
      </c>
      <c r="J4" s="12">
        <f>SUM(E11:E17)</f>
        <v>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ht="15.75" customHeight="1" x14ac:dyDescent="0.25">
      <c r="A5" s="1"/>
      <c r="B5" s="50" t="s">
        <v>56</v>
      </c>
      <c r="C5" s="53">
        <f>SUMIFS('Hoja 2'!L:L,'Hoja 2'!C:C,B5)</f>
        <v>0</v>
      </c>
      <c r="D5" s="53">
        <v>0</v>
      </c>
      <c r="E5" s="53">
        <f t="shared" si="0"/>
        <v>0</v>
      </c>
      <c r="F5" s="1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ht="15.75" customHeight="1" x14ac:dyDescent="0.25">
      <c r="A6" s="1"/>
      <c r="B6" s="50" t="s">
        <v>57</v>
      </c>
      <c r="C6" s="53">
        <f>SUMIFS('Hoja 2'!L:L,'Hoja 2'!C:C,B6)</f>
        <v>0</v>
      </c>
      <c r="D6" s="53">
        <v>0</v>
      </c>
      <c r="E6" s="53">
        <f t="shared" si="0"/>
        <v>0</v>
      </c>
      <c r="F6" s="13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ht="15.75" customHeight="1" x14ac:dyDescent="0.25">
      <c r="A7" s="1"/>
      <c r="B7" s="50" t="s">
        <v>58</v>
      </c>
      <c r="C7" s="53">
        <f>SUMIFS('Hoja 2'!L:L,'Hoja 2'!C:C,B7)</f>
        <v>0</v>
      </c>
      <c r="D7" s="53">
        <v>0</v>
      </c>
      <c r="E7" s="53">
        <f t="shared" si="0"/>
        <v>0</v>
      </c>
      <c r="F7" s="13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ht="15.75" customHeight="1" x14ac:dyDescent="0.25">
      <c r="A8" s="1"/>
      <c r="B8" s="50" t="s">
        <v>59</v>
      </c>
      <c r="C8" s="53">
        <f>SUMIFS('Hoja 2'!L:L,'Hoja 2'!C:C,B8)</f>
        <v>0</v>
      </c>
      <c r="D8" s="53">
        <v>0</v>
      </c>
      <c r="E8" s="53">
        <f t="shared" si="0"/>
        <v>0</v>
      </c>
      <c r="F8" s="13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ht="15.75" customHeight="1" x14ac:dyDescent="0.25">
      <c r="A9" s="1"/>
      <c r="B9" s="50" t="s">
        <v>60</v>
      </c>
      <c r="C9" s="53">
        <f>SUMIFS('Hoja 2'!L:L,'Hoja 2'!C:C,B9)</f>
        <v>0</v>
      </c>
      <c r="D9" s="53">
        <v>0</v>
      </c>
      <c r="E9" s="53">
        <f t="shared" si="0"/>
        <v>0</v>
      </c>
      <c r="F9" s="13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ht="15.75" customHeight="1" x14ac:dyDescent="0.25">
      <c r="A10" s="1"/>
      <c r="B10" s="54" t="s">
        <v>61</v>
      </c>
      <c r="C10" s="55">
        <f>SUMIFS('Hoja 2'!L:L,'Hoja 2'!C:C,B10)</f>
        <v>0</v>
      </c>
      <c r="D10" s="55">
        <v>0</v>
      </c>
      <c r="E10" s="55">
        <f t="shared" si="0"/>
        <v>0</v>
      </c>
      <c r="F10" s="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ht="15.75" customHeight="1" x14ac:dyDescent="0.25">
      <c r="A11" s="1"/>
      <c r="B11" s="59" t="s">
        <v>62</v>
      </c>
      <c r="C11" s="60">
        <f>SUMIFS('Hoja 2'!L:L,'Hoja 2'!C:C,B11)</f>
        <v>0</v>
      </c>
      <c r="D11" s="60">
        <v>0</v>
      </c>
      <c r="E11" s="60">
        <f t="shared" si="0"/>
        <v>0</v>
      </c>
      <c r="F11" s="6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ht="15.75" customHeight="1" x14ac:dyDescent="0.25">
      <c r="A12" s="1"/>
      <c r="B12" s="50" t="s">
        <v>63</v>
      </c>
      <c r="C12" s="53">
        <f>SUMIFS('Hoja 2'!L:L,'Hoja 2'!C:C,B12)</f>
        <v>0</v>
      </c>
      <c r="D12" s="53">
        <v>0</v>
      </c>
      <c r="E12" s="53">
        <f t="shared" si="0"/>
        <v>0</v>
      </c>
      <c r="F12" s="13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ht="15.75" customHeight="1" x14ac:dyDescent="0.25">
      <c r="A13" s="1"/>
      <c r="B13" s="50" t="s">
        <v>64</v>
      </c>
      <c r="C13" s="53">
        <f>SUMIFS('Hoja 2'!L:L,'Hoja 2'!C:C,B13)</f>
        <v>0</v>
      </c>
      <c r="D13" s="53">
        <v>0</v>
      </c>
      <c r="E13" s="53">
        <f t="shared" si="0"/>
        <v>0</v>
      </c>
      <c r="F13" s="13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ht="15.75" customHeight="1" x14ac:dyDescent="0.25">
      <c r="A14" s="1"/>
      <c r="B14" s="50" t="s">
        <v>65</v>
      </c>
      <c r="C14" s="53">
        <f>SUMIFS('Hoja 2'!L:L,'Hoja 2'!C:C,B14)</f>
        <v>0</v>
      </c>
      <c r="D14" s="53">
        <v>0</v>
      </c>
      <c r="E14" s="53">
        <f t="shared" si="0"/>
        <v>0</v>
      </c>
      <c r="F14" s="13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ht="15.75" customHeight="1" x14ac:dyDescent="0.25">
      <c r="A15" s="1"/>
      <c r="B15" s="50" t="s">
        <v>66</v>
      </c>
      <c r="C15" s="53">
        <f>SUMIFS('Hoja 2'!L:L,'Hoja 2'!C:C,B15)</f>
        <v>0</v>
      </c>
      <c r="D15" s="53">
        <v>0</v>
      </c>
      <c r="E15" s="53">
        <f t="shared" si="0"/>
        <v>0</v>
      </c>
      <c r="F15" s="1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ht="15.75" customHeight="1" x14ac:dyDescent="0.25">
      <c r="A16" s="1"/>
      <c r="B16" s="50" t="s">
        <v>67</v>
      </c>
      <c r="C16" s="53">
        <f>SUMIFS('Hoja 2'!L:L,'Hoja 2'!C:C,B16)</f>
        <v>0</v>
      </c>
      <c r="D16" s="53">
        <v>0</v>
      </c>
      <c r="E16" s="53">
        <v>0</v>
      </c>
      <c r="F16" s="13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ht="15.75" customHeight="1" x14ac:dyDescent="0.25">
      <c r="A17" s="1"/>
      <c r="B17" s="54" t="s">
        <v>68</v>
      </c>
      <c r="C17" s="55">
        <f>SUMIFS('Hoja 2'!L:L,'Hoja 2'!C:C,B17)</f>
        <v>0</v>
      </c>
      <c r="D17" s="55">
        <v>0</v>
      </c>
      <c r="E17" s="55">
        <f>C17-D17</f>
        <v>0</v>
      </c>
      <c r="F17" s="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ht="15.75" customHeight="1" x14ac:dyDescent="0.3">
      <c r="A18" s="1"/>
      <c r="B18" s="57" t="s">
        <v>3</v>
      </c>
      <c r="C18" s="57">
        <f>SUM(C3:C17)</f>
        <v>0</v>
      </c>
      <c r="D18" s="57">
        <f>SUM(D4:D17)</f>
        <v>0</v>
      </c>
      <c r="E18" s="58">
        <f>SUM(E3:E17)</f>
        <v>0</v>
      </c>
      <c r="F18" s="14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ht="15.75" customHeight="1" x14ac:dyDescent="0.25">
      <c r="A19" s="1"/>
      <c r="C19" s="15"/>
      <c r="D19" s="15"/>
      <c r="E19" s="16"/>
      <c r="F19" s="15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ht="15.75" customHeight="1" x14ac:dyDescent="0.25">
      <c r="A20" s="1"/>
      <c r="C20" s="15"/>
      <c r="D20" s="15"/>
      <c r="E20" s="16"/>
      <c r="F20" s="15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ht="15.75" customHeight="1" x14ac:dyDescent="0.25">
      <c r="A21" s="1"/>
      <c r="C21" s="15"/>
      <c r="D21" s="15"/>
      <c r="E21" s="16"/>
      <c r="F21" s="15"/>
      <c r="G21" s="9"/>
      <c r="H21" s="41"/>
      <c r="I21" s="42"/>
      <c r="J21" s="18"/>
      <c r="K21" s="41"/>
      <c r="L21" s="42"/>
      <c r="M21" s="1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ht="15.75" customHeight="1" x14ac:dyDescent="0.25">
      <c r="A22" s="1"/>
      <c r="C22" s="15"/>
      <c r="D22" s="15"/>
      <c r="E22" s="16"/>
      <c r="F22" s="15"/>
      <c r="G22" s="9"/>
      <c r="H22" s="17"/>
      <c r="I22" s="9"/>
      <c r="J22" s="9"/>
      <c r="K22" s="41"/>
      <c r="L22" s="42"/>
      <c r="M22" s="1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ht="15.75" customHeight="1" x14ac:dyDescent="0.25">
      <c r="A23" s="1"/>
      <c r="C23" s="15"/>
      <c r="D23" s="15"/>
      <c r="E23" s="16"/>
      <c r="F23" s="15"/>
      <c r="G23" s="9"/>
      <c r="H23" s="17"/>
      <c r="I23" s="9"/>
      <c r="J23" s="9"/>
      <c r="K23" s="41"/>
      <c r="L23" s="42"/>
      <c r="M23" s="1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x14ac:dyDescent="0.2">
      <c r="A24" s="5"/>
      <c r="C24" s="15"/>
      <c r="D24" s="15"/>
      <c r="E24" s="16"/>
      <c r="F24" s="15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x14ac:dyDescent="0.2">
      <c r="A25" s="5"/>
      <c r="C25" s="15"/>
      <c r="D25" s="15"/>
      <c r="E25" s="16"/>
      <c r="F25" s="15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x14ac:dyDescent="0.2">
      <c r="A26" s="5"/>
      <c r="C26" s="15"/>
      <c r="D26" s="15"/>
      <c r="E26" s="16"/>
      <c r="F26" s="15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x14ac:dyDescent="0.2">
      <c r="A27" s="5"/>
      <c r="C27" s="15"/>
      <c r="D27" s="15"/>
      <c r="E27" s="16"/>
      <c r="F27" s="15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x14ac:dyDescent="0.2">
      <c r="A28" s="5"/>
      <c r="C28" s="15"/>
      <c r="D28" s="15"/>
      <c r="E28" s="16"/>
      <c r="F28" s="15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x14ac:dyDescent="0.2">
      <c r="A29" s="5"/>
      <c r="C29" s="15"/>
      <c r="D29" s="15"/>
      <c r="E29" s="16"/>
      <c r="F29" s="15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x14ac:dyDescent="0.2">
      <c r="A30" s="5"/>
      <c r="C30" s="15"/>
      <c r="D30" s="15"/>
      <c r="E30" s="16"/>
      <c r="F30" s="15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x14ac:dyDescent="0.2">
      <c r="A31" s="5"/>
      <c r="C31" s="15"/>
      <c r="D31" s="15"/>
      <c r="E31" s="16"/>
      <c r="F31" s="15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x14ac:dyDescent="0.2">
      <c r="A32" s="5"/>
      <c r="C32" s="15"/>
      <c r="D32" s="15"/>
      <c r="E32" s="16"/>
      <c r="F32" s="15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1:49" x14ac:dyDescent="0.2">
      <c r="A33" s="5"/>
      <c r="C33" s="15"/>
      <c r="D33" s="15"/>
      <c r="E33" s="16"/>
      <c r="F33" s="15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x14ac:dyDescent="0.2">
      <c r="A34" s="5"/>
      <c r="C34" s="15"/>
      <c r="D34" s="15"/>
      <c r="E34" s="16"/>
      <c r="F34" s="15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pans="1:49" x14ac:dyDescent="0.2">
      <c r="A35" s="5"/>
      <c r="C35" s="15"/>
      <c r="D35" s="15"/>
      <c r="E35" s="16"/>
      <c r="F35" s="15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x14ac:dyDescent="0.2">
      <c r="A36" s="5"/>
      <c r="C36" s="15"/>
      <c r="D36" s="15"/>
      <c r="E36" s="16"/>
      <c r="F36" s="15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pans="1:49" x14ac:dyDescent="0.2">
      <c r="A37" s="5"/>
      <c r="C37" s="15"/>
      <c r="D37" s="15"/>
      <c r="E37" s="16"/>
      <c r="F37" s="15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x14ac:dyDescent="0.2">
      <c r="A38" s="5"/>
      <c r="C38" s="15"/>
      <c r="D38" s="15"/>
      <c r="E38" s="16"/>
      <c r="F38" s="15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pans="1:49" x14ac:dyDescent="0.2">
      <c r="A39" s="5"/>
      <c r="C39" s="15"/>
      <c r="D39" s="15"/>
      <c r="E39" s="16"/>
      <c r="F39" s="15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x14ac:dyDescent="0.2">
      <c r="A40" s="5"/>
      <c r="C40" s="15"/>
      <c r="D40" s="15"/>
      <c r="E40" s="16"/>
      <c r="F40" s="15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pans="1:49" x14ac:dyDescent="0.2">
      <c r="A41" s="5"/>
      <c r="C41" s="15"/>
      <c r="D41" s="15"/>
      <c r="E41" s="16"/>
      <c r="F41" s="15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x14ac:dyDescent="0.2">
      <c r="A42" s="5"/>
      <c r="C42" s="15"/>
      <c r="D42" s="15"/>
      <c r="E42" s="16"/>
      <c r="F42" s="15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49" ht="12.75" x14ac:dyDescent="0.2">
      <c r="A43" s="5"/>
      <c r="C43" s="15"/>
      <c r="D43" s="15"/>
      <c r="E43" s="16"/>
      <c r="F43" s="15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pans="1:49" ht="12.75" x14ac:dyDescent="0.2">
      <c r="A44" s="5"/>
      <c r="C44" s="15"/>
      <c r="D44" s="15"/>
      <c r="E44" s="16"/>
      <c r="F44" s="15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pans="1:49" ht="12.75" x14ac:dyDescent="0.2">
      <c r="A45" s="5"/>
      <c r="C45" s="15"/>
      <c r="D45" s="15"/>
      <c r="E45" s="16"/>
      <c r="F45" s="15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ht="12.75" x14ac:dyDescent="0.2">
      <c r="A46" s="5"/>
      <c r="C46" s="15"/>
      <c r="D46" s="15"/>
      <c r="E46" s="16"/>
      <c r="F46" s="15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pans="1:49" ht="12.75" x14ac:dyDescent="0.2">
      <c r="A47" s="5"/>
      <c r="C47" s="15"/>
      <c r="D47" s="15"/>
      <c r="E47" s="16"/>
      <c r="F47" s="15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ht="12.75" x14ac:dyDescent="0.2">
      <c r="A48" s="5"/>
      <c r="C48" s="15"/>
      <c r="D48" s="15"/>
      <c r="E48" s="16"/>
      <c r="F48" s="15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pans="1:49" ht="12.75" x14ac:dyDescent="0.2">
      <c r="A49" s="5"/>
      <c r="C49" s="15"/>
      <c r="D49" s="15"/>
      <c r="E49" s="16"/>
      <c r="F49" s="1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ht="12.75" x14ac:dyDescent="0.2">
      <c r="A50" s="5"/>
      <c r="C50" s="15"/>
      <c r="D50" s="15"/>
      <c r="E50" s="16"/>
      <c r="F50" s="15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ht="12.75" x14ac:dyDescent="0.2">
      <c r="A51" s="5"/>
      <c r="C51" s="15"/>
      <c r="D51" s="15"/>
      <c r="E51" s="16"/>
      <c r="F51" s="15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ht="12.75" x14ac:dyDescent="0.2">
      <c r="A52" s="5"/>
      <c r="C52" s="15"/>
      <c r="D52" s="15"/>
      <c r="E52" s="16"/>
      <c r="F52" s="1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pans="1:49" ht="12.75" x14ac:dyDescent="0.2">
      <c r="A53" s="5"/>
      <c r="C53" s="15"/>
      <c r="D53" s="15"/>
      <c r="E53" s="16"/>
      <c r="F53" s="15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ht="12.75" x14ac:dyDescent="0.2">
      <c r="A54" s="5"/>
      <c r="C54" s="15"/>
      <c r="D54" s="15"/>
      <c r="E54" s="16"/>
      <c r="F54" s="15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pans="1:49" ht="12.75" x14ac:dyDescent="0.2">
      <c r="A55" s="5"/>
      <c r="C55" s="15"/>
      <c r="D55" s="15"/>
      <c r="E55" s="16"/>
      <c r="F55" s="1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ht="12.75" x14ac:dyDescent="0.2">
      <c r="A56" s="5"/>
      <c r="C56" s="15"/>
      <c r="D56" s="15"/>
      <c r="E56" s="16"/>
      <c r="F56" s="1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pans="1:49" ht="12.75" x14ac:dyDescent="0.2">
      <c r="A57" s="5"/>
      <c r="C57" s="15"/>
      <c r="D57" s="15"/>
      <c r="E57" s="16"/>
      <c r="F57" s="15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ht="12.75" x14ac:dyDescent="0.2">
      <c r="A58" s="5"/>
      <c r="C58" s="15"/>
      <c r="D58" s="15"/>
      <c r="E58" s="16"/>
      <c r="F58" s="15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pans="1:49" ht="12.75" x14ac:dyDescent="0.2">
      <c r="A59" s="5"/>
      <c r="C59" s="15"/>
      <c r="D59" s="15"/>
      <c r="E59" s="16"/>
      <c r="F59" s="15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ht="12.75" x14ac:dyDescent="0.2">
      <c r="A60" s="5"/>
      <c r="C60" s="15"/>
      <c r="D60" s="15"/>
      <c r="E60" s="16"/>
      <c r="F60" s="15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pans="1:49" ht="12.75" x14ac:dyDescent="0.2">
      <c r="A61" s="5"/>
      <c r="C61" s="15"/>
      <c r="D61" s="15"/>
      <c r="E61" s="16"/>
      <c r="F61" s="15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ht="12.75" x14ac:dyDescent="0.2">
      <c r="A62" s="5"/>
      <c r="C62" s="15"/>
      <c r="D62" s="15"/>
      <c r="E62" s="16"/>
      <c r="F62" s="15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spans="1:49" ht="12.75" x14ac:dyDescent="0.2">
      <c r="A63" s="5"/>
      <c r="C63" s="15"/>
      <c r="D63" s="15"/>
      <c r="E63" s="16"/>
      <c r="F63" s="15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spans="1:49" ht="12.75" x14ac:dyDescent="0.2">
      <c r="A64" s="5"/>
      <c r="C64" s="15"/>
      <c r="D64" s="15"/>
      <c r="E64" s="16"/>
      <c r="F64" s="15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spans="1:49" ht="12.75" x14ac:dyDescent="0.2">
      <c r="A65" s="5"/>
      <c r="C65" s="15"/>
      <c r="D65" s="15"/>
      <c r="E65" s="16"/>
      <c r="F65" s="1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spans="1:49" ht="12.75" x14ac:dyDescent="0.2">
      <c r="A66" s="5"/>
      <c r="C66" s="15"/>
      <c r="D66" s="15"/>
      <c r="E66" s="16"/>
      <c r="F66" s="15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spans="1:49" ht="12.75" x14ac:dyDescent="0.2">
      <c r="A67" s="5"/>
      <c r="C67" s="15"/>
      <c r="D67" s="15"/>
      <c r="E67" s="16"/>
      <c r="F67" s="15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spans="1:49" ht="12.75" x14ac:dyDescent="0.2">
      <c r="A68" s="5"/>
      <c r="C68" s="15"/>
      <c r="D68" s="15"/>
      <c r="E68" s="16"/>
      <c r="F68" s="15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spans="1:49" ht="12.75" x14ac:dyDescent="0.2">
      <c r="A69" s="5"/>
      <c r="C69" s="15"/>
      <c r="D69" s="15"/>
      <c r="E69" s="16"/>
      <c r="F69" s="15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spans="1:49" ht="12.75" x14ac:dyDescent="0.2">
      <c r="A70" s="5"/>
      <c r="C70" s="15"/>
      <c r="D70" s="15"/>
      <c r="E70" s="16"/>
      <c r="F70" s="15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spans="1:49" ht="12.75" x14ac:dyDescent="0.2">
      <c r="A71" s="5"/>
      <c r="C71" s="15"/>
      <c r="D71" s="15"/>
      <c r="E71" s="16"/>
      <c r="F71" s="15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spans="1:49" ht="12.75" x14ac:dyDescent="0.2">
      <c r="A72" s="5"/>
      <c r="C72" s="15"/>
      <c r="D72" s="15"/>
      <c r="E72" s="16"/>
      <c r="F72" s="15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spans="1:49" ht="12.75" x14ac:dyDescent="0.2">
      <c r="A73" s="5"/>
      <c r="C73" s="15"/>
      <c r="D73" s="15"/>
      <c r="E73" s="16"/>
      <c r="F73" s="15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spans="1:49" ht="12.75" x14ac:dyDescent="0.2">
      <c r="A74" s="5"/>
      <c r="C74" s="15"/>
      <c r="D74" s="15"/>
      <c r="E74" s="16"/>
      <c r="F74" s="15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spans="1:49" ht="12.75" x14ac:dyDescent="0.2">
      <c r="A75" s="5"/>
      <c r="C75" s="15"/>
      <c r="D75" s="15"/>
      <c r="E75" s="16"/>
      <c r="F75" s="1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spans="1:49" ht="12.75" x14ac:dyDescent="0.2">
      <c r="A76" s="5"/>
      <c r="C76" s="15"/>
      <c r="D76" s="15"/>
      <c r="E76" s="16"/>
      <c r="F76" s="15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spans="1:49" ht="12.75" x14ac:dyDescent="0.2">
      <c r="A77" s="5"/>
      <c r="C77" s="15"/>
      <c r="D77" s="15"/>
      <c r="E77" s="16"/>
      <c r="F77" s="15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spans="1:49" ht="12.75" x14ac:dyDescent="0.2">
      <c r="A78" s="5"/>
      <c r="C78" s="15"/>
      <c r="D78" s="15"/>
      <c r="E78" s="16"/>
      <c r="F78" s="15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spans="1:49" ht="12.75" x14ac:dyDescent="0.2">
      <c r="A79" s="5"/>
      <c r="C79" s="15"/>
      <c r="D79" s="15"/>
      <c r="E79" s="16"/>
      <c r="F79" s="15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spans="1:49" ht="12.75" x14ac:dyDescent="0.2">
      <c r="A80" s="5"/>
      <c r="C80" s="15"/>
      <c r="D80" s="15"/>
      <c r="E80" s="16"/>
      <c r="F80" s="15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spans="1:49" ht="12.75" x14ac:dyDescent="0.2">
      <c r="A81" s="5"/>
      <c r="C81" s="15"/>
      <c r="D81" s="15"/>
      <c r="E81" s="16"/>
      <c r="F81" s="15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spans="1:49" ht="12.75" x14ac:dyDescent="0.2">
      <c r="A82" s="5"/>
      <c r="C82" s="15"/>
      <c r="D82" s="15"/>
      <c r="E82" s="16"/>
      <c r="F82" s="15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spans="1:49" ht="12.75" x14ac:dyDescent="0.2">
      <c r="A83" s="5"/>
      <c r="C83" s="15"/>
      <c r="D83" s="15"/>
      <c r="E83" s="16"/>
      <c r="F83" s="15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spans="1:49" ht="12.75" x14ac:dyDescent="0.2">
      <c r="A84" s="5"/>
      <c r="C84" s="15"/>
      <c r="D84" s="15"/>
      <c r="E84" s="16"/>
      <c r="F84" s="15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ht="12.75" x14ac:dyDescent="0.2">
      <c r="A85" s="5"/>
      <c r="C85" s="15"/>
      <c r="D85" s="15"/>
      <c r="E85" s="16"/>
      <c r="F85" s="1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spans="1:49" ht="12.75" x14ac:dyDescent="0.2">
      <c r="A86" s="5"/>
      <c r="C86" s="15"/>
      <c r="D86" s="15"/>
      <c r="E86" s="16"/>
      <c r="F86" s="15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ht="12.75" x14ac:dyDescent="0.2">
      <c r="A87" s="5"/>
      <c r="C87" s="15"/>
      <c r="D87" s="15"/>
      <c r="E87" s="16"/>
      <c r="F87" s="15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spans="1:49" ht="12.75" x14ac:dyDescent="0.2">
      <c r="A88" s="5"/>
      <c r="C88" s="15"/>
      <c r="D88" s="15"/>
      <c r="E88" s="16"/>
      <c r="F88" s="15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ht="12.75" x14ac:dyDescent="0.2">
      <c r="A89" s="5"/>
      <c r="C89" s="15"/>
      <c r="D89" s="15"/>
      <c r="E89" s="16"/>
      <c r="F89" s="15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spans="1:49" ht="12.75" x14ac:dyDescent="0.2">
      <c r="A90" s="5"/>
      <c r="C90" s="15"/>
      <c r="D90" s="15"/>
      <c r="E90" s="16"/>
      <c r="F90" s="15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ht="12.75" x14ac:dyDescent="0.2">
      <c r="A91" s="5"/>
      <c r="C91" s="15"/>
      <c r="D91" s="15"/>
      <c r="E91" s="16"/>
      <c r="F91" s="15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spans="1:49" ht="12.75" x14ac:dyDescent="0.2">
      <c r="A92" s="5"/>
      <c r="C92" s="15"/>
      <c r="D92" s="15"/>
      <c r="E92" s="16"/>
      <c r="F92" s="15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ht="12.75" x14ac:dyDescent="0.2">
      <c r="A93" s="5"/>
      <c r="C93" s="15"/>
      <c r="D93" s="15"/>
      <c r="E93" s="16"/>
      <c r="F93" s="15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spans="1:49" ht="12.75" x14ac:dyDescent="0.2">
      <c r="A94" s="5"/>
      <c r="C94" s="15"/>
      <c r="D94" s="15"/>
      <c r="E94" s="16"/>
      <c r="F94" s="15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spans="1:49" ht="12.75" x14ac:dyDescent="0.2">
      <c r="A95" s="5"/>
      <c r="C95" s="15"/>
      <c r="D95" s="15"/>
      <c r="E95" s="16"/>
      <c r="F95" s="15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spans="1:49" ht="12.75" x14ac:dyDescent="0.2">
      <c r="A96" s="5"/>
      <c r="C96" s="15"/>
      <c r="D96" s="15"/>
      <c r="E96" s="16"/>
      <c r="F96" s="15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spans="1:49" ht="12.75" x14ac:dyDescent="0.2">
      <c r="A97" s="5"/>
      <c r="C97" s="15"/>
      <c r="D97" s="15"/>
      <c r="E97" s="16"/>
      <c r="F97" s="15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spans="1:49" ht="12.75" x14ac:dyDescent="0.2">
      <c r="A98" s="5"/>
      <c r="C98" s="15"/>
      <c r="D98" s="15"/>
      <c r="E98" s="16"/>
      <c r="F98" s="15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spans="1:49" ht="12.75" x14ac:dyDescent="0.2">
      <c r="A99" s="5"/>
      <c r="C99" s="15"/>
      <c r="D99" s="15"/>
      <c r="E99" s="16"/>
      <c r="F99" s="15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spans="1:49" ht="12.75" x14ac:dyDescent="0.2">
      <c r="A100" s="5"/>
      <c r="C100" s="15"/>
      <c r="D100" s="15"/>
      <c r="E100" s="16"/>
      <c r="F100" s="15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spans="1:49" ht="12.75" x14ac:dyDescent="0.2">
      <c r="A101" s="5"/>
      <c r="C101" s="15"/>
      <c r="D101" s="15"/>
      <c r="E101" s="16"/>
      <c r="F101" s="15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spans="1:49" ht="12.75" x14ac:dyDescent="0.2">
      <c r="A102" s="5"/>
      <c r="C102" s="15"/>
      <c r="D102" s="15"/>
      <c r="E102" s="16"/>
      <c r="F102" s="15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ht="12.75" x14ac:dyDescent="0.2">
      <c r="A103" s="5"/>
      <c r="C103" s="15"/>
      <c r="D103" s="15"/>
      <c r="E103" s="16"/>
      <c r="F103" s="15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spans="1:49" ht="12.75" x14ac:dyDescent="0.2">
      <c r="A104" s="5"/>
      <c r="C104" s="15"/>
      <c r="D104" s="15"/>
      <c r="E104" s="16"/>
      <c r="F104" s="15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ht="12.75" x14ac:dyDescent="0.2">
      <c r="A105" s="5"/>
      <c r="C105" s="15"/>
      <c r="D105" s="15"/>
      <c r="E105" s="16"/>
      <c r="F105" s="15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spans="1:49" ht="12.75" x14ac:dyDescent="0.2">
      <c r="A106" s="5"/>
      <c r="C106" s="15"/>
      <c r="D106" s="15"/>
      <c r="E106" s="16"/>
      <c r="F106" s="15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ht="12.75" x14ac:dyDescent="0.2">
      <c r="A107" s="5"/>
      <c r="C107" s="15"/>
      <c r="D107" s="15"/>
      <c r="E107" s="16"/>
      <c r="F107" s="15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spans="1:49" ht="12.75" x14ac:dyDescent="0.2">
      <c r="A108" s="5"/>
      <c r="C108" s="15"/>
      <c r="D108" s="15"/>
      <c r="E108" s="16"/>
      <c r="F108" s="15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ht="12.75" x14ac:dyDescent="0.2">
      <c r="A109" s="5"/>
      <c r="C109" s="15"/>
      <c r="D109" s="15"/>
      <c r="E109" s="16"/>
      <c r="F109" s="15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spans="1:49" ht="12.75" x14ac:dyDescent="0.2">
      <c r="A110" s="5"/>
      <c r="C110" s="15"/>
      <c r="D110" s="15"/>
      <c r="E110" s="16"/>
      <c r="F110" s="15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pans="1:49" ht="12.75" x14ac:dyDescent="0.2">
      <c r="A111" s="5"/>
      <c r="C111" s="15"/>
      <c r="D111" s="15"/>
      <c r="E111" s="16"/>
      <c r="F111" s="15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pans="1:49" ht="12.75" x14ac:dyDescent="0.2">
      <c r="A112" s="5"/>
      <c r="C112" s="15"/>
      <c r="D112" s="15"/>
      <c r="E112" s="16"/>
      <c r="F112" s="15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ht="12.75" x14ac:dyDescent="0.2">
      <c r="A113" s="5"/>
      <c r="C113" s="15"/>
      <c r="D113" s="15"/>
      <c r="E113" s="16"/>
      <c r="F113" s="15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pans="1:49" ht="12.75" x14ac:dyDescent="0.2">
      <c r="A114" s="5"/>
      <c r="C114" s="15"/>
      <c r="D114" s="15"/>
      <c r="E114" s="16"/>
      <c r="F114" s="15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pans="1:49" ht="12.75" x14ac:dyDescent="0.2">
      <c r="A115" s="5"/>
      <c r="C115" s="15"/>
      <c r="D115" s="15"/>
      <c r="E115" s="16"/>
      <c r="F115" s="15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pans="1:49" ht="12.75" x14ac:dyDescent="0.2">
      <c r="A116" s="5"/>
      <c r="C116" s="15"/>
      <c r="D116" s="15"/>
      <c r="E116" s="16"/>
      <c r="F116" s="15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pans="1:49" ht="12.75" x14ac:dyDescent="0.2">
      <c r="A117" s="5"/>
      <c r="C117" s="15"/>
      <c r="D117" s="15"/>
      <c r="E117" s="16"/>
      <c r="F117" s="15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pans="1:49" ht="12.75" x14ac:dyDescent="0.2">
      <c r="A118" s="5"/>
      <c r="C118" s="15"/>
      <c r="D118" s="15"/>
      <c r="E118" s="16"/>
      <c r="F118" s="15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pans="1:49" ht="12.75" x14ac:dyDescent="0.2">
      <c r="A119" s="5"/>
      <c r="C119" s="15"/>
      <c r="D119" s="15"/>
      <c r="E119" s="16"/>
      <c r="F119" s="15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pans="1:49" ht="12.75" x14ac:dyDescent="0.2">
      <c r="A120" s="5"/>
      <c r="C120" s="15"/>
      <c r="D120" s="15"/>
      <c r="E120" s="16"/>
      <c r="F120" s="15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pans="1:49" ht="12.75" x14ac:dyDescent="0.2">
      <c r="A121" s="5"/>
      <c r="C121" s="15"/>
      <c r="D121" s="15"/>
      <c r="E121" s="16"/>
      <c r="F121" s="15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pans="1:49" ht="12.75" x14ac:dyDescent="0.2">
      <c r="A122" s="5"/>
      <c r="C122" s="15"/>
      <c r="D122" s="15"/>
      <c r="E122" s="16"/>
      <c r="F122" s="15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pans="1:49" ht="12.75" x14ac:dyDescent="0.2">
      <c r="A123" s="5"/>
      <c r="C123" s="15"/>
      <c r="D123" s="15"/>
      <c r="E123" s="16"/>
      <c r="F123" s="15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pans="1:49" ht="12.75" x14ac:dyDescent="0.2">
      <c r="A124" s="5"/>
      <c r="C124" s="15"/>
      <c r="D124" s="15"/>
      <c r="E124" s="16"/>
      <c r="F124" s="15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pans="1:49" ht="12.75" x14ac:dyDescent="0.2">
      <c r="A125" s="5"/>
      <c r="C125" s="15"/>
      <c r="D125" s="15"/>
      <c r="E125" s="16"/>
      <c r="F125" s="1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pans="1:49" ht="12.75" x14ac:dyDescent="0.2">
      <c r="A126" s="5"/>
      <c r="C126" s="15"/>
      <c r="D126" s="15"/>
      <c r="E126" s="16"/>
      <c r="F126" s="15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pans="1:49" ht="12.75" x14ac:dyDescent="0.2">
      <c r="A127" s="5"/>
      <c r="C127" s="15"/>
      <c r="D127" s="15"/>
      <c r="E127" s="16"/>
      <c r="F127" s="15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pans="1:49" ht="12.75" x14ac:dyDescent="0.2">
      <c r="A128" s="5"/>
      <c r="C128" s="15"/>
      <c r="D128" s="15"/>
      <c r="E128" s="16"/>
      <c r="F128" s="15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pans="1:49" ht="12.75" x14ac:dyDescent="0.2">
      <c r="A129" s="5"/>
      <c r="C129" s="15"/>
      <c r="D129" s="15"/>
      <c r="E129" s="16"/>
      <c r="F129" s="15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pans="1:49" ht="12.75" x14ac:dyDescent="0.2">
      <c r="A130" s="5"/>
      <c r="C130" s="15"/>
      <c r="D130" s="15"/>
      <c r="E130" s="16"/>
      <c r="F130" s="15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ht="12.75" x14ac:dyDescent="0.2">
      <c r="A131" s="5"/>
      <c r="C131" s="15"/>
      <c r="D131" s="15"/>
      <c r="E131" s="16"/>
      <c r="F131" s="1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pans="1:49" ht="12.75" x14ac:dyDescent="0.2">
      <c r="A132" s="5"/>
      <c r="C132" s="15"/>
      <c r="D132" s="15"/>
      <c r="E132" s="16"/>
      <c r="F132" s="1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pans="1:49" ht="12.75" x14ac:dyDescent="0.2">
      <c r="A133" s="5"/>
      <c r="C133" s="15"/>
      <c r="D133" s="15"/>
      <c r="E133" s="16"/>
      <c r="F133" s="1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pans="1:49" ht="12.75" x14ac:dyDescent="0.2">
      <c r="A134" s="5"/>
      <c r="C134" s="15"/>
      <c r="D134" s="15"/>
      <c r="E134" s="16"/>
      <c r="F134" s="1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ht="12.75" x14ac:dyDescent="0.2">
      <c r="A135" s="5"/>
      <c r="C135" s="15"/>
      <c r="D135" s="15"/>
      <c r="E135" s="16"/>
      <c r="F135" s="1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pans="1:49" ht="12.75" x14ac:dyDescent="0.2">
      <c r="A136" s="5"/>
      <c r="C136" s="15"/>
      <c r="D136" s="15"/>
      <c r="E136" s="16"/>
      <c r="F136" s="1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pans="1:49" ht="12.75" x14ac:dyDescent="0.2">
      <c r="A137" s="5"/>
      <c r="C137" s="15"/>
      <c r="D137" s="15"/>
      <c r="E137" s="16"/>
      <c r="F137" s="1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pans="1:49" ht="12.75" x14ac:dyDescent="0.2">
      <c r="A138" s="5"/>
      <c r="C138" s="15"/>
      <c r="D138" s="15"/>
      <c r="E138" s="16"/>
      <c r="F138" s="1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ht="12.75" x14ac:dyDescent="0.2">
      <c r="A139" s="5"/>
      <c r="C139" s="15"/>
      <c r="D139" s="15"/>
      <c r="E139" s="16"/>
      <c r="F139" s="1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spans="1:49" ht="12.75" x14ac:dyDescent="0.2">
      <c r="A140" s="5"/>
      <c r="C140" s="15"/>
      <c r="D140" s="15"/>
      <c r="E140" s="16"/>
      <c r="F140" s="1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ht="12.75" x14ac:dyDescent="0.2">
      <c r="A141" s="5"/>
      <c r="C141" s="15"/>
      <c r="D141" s="15"/>
      <c r="E141" s="16"/>
      <c r="F141" s="1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spans="1:49" ht="12.75" x14ac:dyDescent="0.2">
      <c r="A142" s="5"/>
      <c r="C142" s="15"/>
      <c r="D142" s="15"/>
      <c r="E142" s="16"/>
      <c r="F142" s="1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ht="12.75" x14ac:dyDescent="0.2">
      <c r="A143" s="5"/>
      <c r="C143" s="15"/>
      <c r="D143" s="15"/>
      <c r="E143" s="16"/>
      <c r="F143" s="1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spans="1:49" ht="12.75" x14ac:dyDescent="0.2">
      <c r="A144" s="5"/>
      <c r="C144" s="15"/>
      <c r="D144" s="15"/>
      <c r="E144" s="16"/>
      <c r="F144" s="1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ht="12.75" x14ac:dyDescent="0.2">
      <c r="A145" s="5"/>
      <c r="C145" s="15"/>
      <c r="D145" s="15"/>
      <c r="E145" s="16"/>
      <c r="F145" s="1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spans="1:49" ht="12.75" x14ac:dyDescent="0.2">
      <c r="A146" s="5"/>
      <c r="C146" s="15"/>
      <c r="D146" s="15"/>
      <c r="E146" s="16"/>
      <c r="F146" s="1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spans="1:49" ht="12.75" x14ac:dyDescent="0.2">
      <c r="A147" s="5"/>
      <c r="C147" s="15"/>
      <c r="D147" s="15"/>
      <c r="E147" s="16"/>
      <c r="F147" s="1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spans="1:49" ht="12.75" x14ac:dyDescent="0.2">
      <c r="A148" s="5"/>
      <c r="C148" s="15"/>
      <c r="D148" s="15"/>
      <c r="E148" s="16"/>
      <c r="F148" s="1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ht="12.75" x14ac:dyDescent="0.2">
      <c r="A149" s="5"/>
      <c r="C149" s="15"/>
      <c r="D149" s="15"/>
      <c r="E149" s="16"/>
      <c r="F149" s="1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spans="1:49" ht="12.75" x14ac:dyDescent="0.2">
      <c r="A150" s="5"/>
      <c r="C150" s="15"/>
      <c r="D150" s="15"/>
      <c r="E150" s="16"/>
      <c r="F150" s="1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ht="12.75" x14ac:dyDescent="0.2">
      <c r="A151" s="5"/>
      <c r="C151" s="15"/>
      <c r="D151" s="15"/>
      <c r="E151" s="16"/>
      <c r="F151" s="1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spans="1:49" ht="12.75" x14ac:dyDescent="0.2">
      <c r="A152" s="5"/>
      <c r="C152" s="15"/>
      <c r="D152" s="15"/>
      <c r="E152" s="16"/>
      <c r="F152" s="1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ht="12.75" x14ac:dyDescent="0.2">
      <c r="A153" s="5"/>
      <c r="C153" s="15"/>
      <c r="D153" s="15"/>
      <c r="E153" s="16"/>
      <c r="F153" s="1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ht="12.75" x14ac:dyDescent="0.2">
      <c r="A154" s="5"/>
      <c r="C154" s="15"/>
      <c r="D154" s="15"/>
      <c r="E154" s="16"/>
      <c r="F154" s="1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ht="12.75" x14ac:dyDescent="0.2">
      <c r="A155" s="5"/>
      <c r="C155" s="15"/>
      <c r="D155" s="15"/>
      <c r="E155" s="16"/>
      <c r="F155" s="1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spans="1:49" ht="12.75" x14ac:dyDescent="0.2">
      <c r="A156" s="5"/>
      <c r="C156" s="15"/>
      <c r="D156" s="15"/>
      <c r="E156" s="16"/>
      <c r="F156" s="1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spans="1:49" ht="12.75" x14ac:dyDescent="0.2">
      <c r="A157" s="5"/>
      <c r="C157" s="15"/>
      <c r="D157" s="15"/>
      <c r="E157" s="16"/>
      <c r="F157" s="1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spans="1:49" ht="12.75" x14ac:dyDescent="0.2">
      <c r="A158" s="5"/>
      <c r="C158" s="15"/>
      <c r="D158" s="15"/>
      <c r="E158" s="16"/>
      <c r="F158" s="1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spans="1:49" ht="12.75" x14ac:dyDescent="0.2">
      <c r="A159" s="5"/>
      <c r="C159" s="15"/>
      <c r="D159" s="15"/>
      <c r="E159" s="16"/>
      <c r="F159" s="1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spans="1:49" ht="12.75" x14ac:dyDescent="0.2">
      <c r="A160" s="5"/>
      <c r="C160" s="15"/>
      <c r="D160" s="15"/>
      <c r="E160" s="16"/>
      <c r="F160" s="1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spans="1:49" ht="12.75" x14ac:dyDescent="0.2">
      <c r="A161" s="5"/>
      <c r="C161" s="15"/>
      <c r="D161" s="15"/>
      <c r="E161" s="16"/>
      <c r="F161" s="1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spans="1:49" ht="12.75" x14ac:dyDescent="0.2">
      <c r="A162" s="5"/>
      <c r="C162" s="15"/>
      <c r="D162" s="15"/>
      <c r="E162" s="16"/>
      <c r="F162" s="1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spans="1:49" ht="12.75" x14ac:dyDescent="0.2">
      <c r="A163" s="5"/>
      <c r="C163" s="15"/>
      <c r="D163" s="15"/>
      <c r="E163" s="16"/>
      <c r="F163" s="1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spans="1:49" ht="12.75" x14ac:dyDescent="0.2">
      <c r="A164" s="5"/>
      <c r="C164" s="15"/>
      <c r="D164" s="15"/>
      <c r="E164" s="16"/>
      <c r="F164" s="1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spans="1:49" ht="12.75" x14ac:dyDescent="0.2">
      <c r="A165" s="5"/>
      <c r="C165" s="15"/>
      <c r="D165" s="15"/>
      <c r="E165" s="16"/>
      <c r="F165" s="1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spans="1:49" ht="12.75" x14ac:dyDescent="0.2">
      <c r="A166" s="5"/>
      <c r="C166" s="15"/>
      <c r="D166" s="15"/>
      <c r="E166" s="16"/>
      <c r="F166" s="1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spans="1:49" ht="12.75" x14ac:dyDescent="0.2">
      <c r="A167" s="5"/>
      <c r="C167" s="15"/>
      <c r="D167" s="15"/>
      <c r="E167" s="16"/>
      <c r="F167" s="1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spans="1:49" ht="12.75" x14ac:dyDescent="0.2">
      <c r="A168" s="5"/>
      <c r="C168" s="15"/>
      <c r="D168" s="15"/>
      <c r="E168" s="16"/>
      <c r="F168" s="1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spans="1:49" ht="12.75" x14ac:dyDescent="0.2">
      <c r="A169" s="5"/>
      <c r="C169" s="15"/>
      <c r="D169" s="15"/>
      <c r="E169" s="16"/>
      <c r="F169" s="1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spans="1:49" ht="12.75" x14ac:dyDescent="0.2">
      <c r="A170" s="5"/>
      <c r="C170" s="15"/>
      <c r="D170" s="15"/>
      <c r="E170" s="16"/>
      <c r="F170" s="1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spans="1:49" ht="12.75" x14ac:dyDescent="0.2">
      <c r="A171" s="5"/>
      <c r="C171" s="15"/>
      <c r="D171" s="15"/>
      <c r="E171" s="16"/>
      <c r="F171" s="1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spans="1:49" ht="12.75" x14ac:dyDescent="0.2">
      <c r="A172" s="5"/>
      <c r="C172" s="15"/>
      <c r="D172" s="15"/>
      <c r="E172" s="16"/>
      <c r="F172" s="1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spans="1:49" ht="12.75" x14ac:dyDescent="0.2">
      <c r="A173" s="5"/>
      <c r="C173" s="15"/>
      <c r="D173" s="15"/>
      <c r="E173" s="16"/>
      <c r="F173" s="1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spans="1:49" ht="12.75" x14ac:dyDescent="0.2">
      <c r="A174" s="5"/>
      <c r="C174" s="15"/>
      <c r="D174" s="15"/>
      <c r="E174" s="16"/>
      <c r="F174" s="1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spans="1:49" ht="12.75" x14ac:dyDescent="0.2">
      <c r="A175" s="5"/>
      <c r="C175" s="15"/>
      <c r="D175" s="15"/>
      <c r="E175" s="16"/>
      <c r="F175" s="1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spans="1:49" ht="12.75" x14ac:dyDescent="0.2">
      <c r="A176" s="5"/>
      <c r="C176" s="15"/>
      <c r="D176" s="15"/>
      <c r="E176" s="16"/>
      <c r="F176" s="1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spans="1:49" ht="12.75" x14ac:dyDescent="0.2">
      <c r="A177" s="5"/>
      <c r="C177" s="15"/>
      <c r="D177" s="15"/>
      <c r="E177" s="16"/>
      <c r="F177" s="1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spans="1:49" ht="12.75" x14ac:dyDescent="0.2">
      <c r="A178" s="5"/>
      <c r="C178" s="15"/>
      <c r="D178" s="15"/>
      <c r="E178" s="16"/>
      <c r="F178" s="1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spans="1:49" ht="12.75" x14ac:dyDescent="0.2">
      <c r="A179" s="5"/>
      <c r="C179" s="15"/>
      <c r="D179" s="15"/>
      <c r="E179" s="16"/>
      <c r="F179" s="1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spans="1:49" ht="12.75" x14ac:dyDescent="0.2">
      <c r="A180" s="5"/>
      <c r="C180" s="15"/>
      <c r="D180" s="15"/>
      <c r="E180" s="16"/>
      <c r="F180" s="1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spans="1:49" ht="12.75" x14ac:dyDescent="0.2">
      <c r="A181" s="5"/>
      <c r="C181" s="15"/>
      <c r="D181" s="15"/>
      <c r="E181" s="16"/>
      <c r="F181" s="1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spans="1:49" ht="12.75" x14ac:dyDescent="0.2">
      <c r="A182" s="5"/>
      <c r="C182" s="15"/>
      <c r="D182" s="15"/>
      <c r="E182" s="16"/>
      <c r="F182" s="1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spans="1:49" ht="12.75" x14ac:dyDescent="0.2">
      <c r="A183" s="5"/>
      <c r="C183" s="15"/>
      <c r="D183" s="15"/>
      <c r="E183" s="16"/>
      <c r="F183" s="1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spans="1:49" ht="12.75" x14ac:dyDescent="0.2">
      <c r="A184" s="5"/>
      <c r="C184" s="15"/>
      <c r="D184" s="15"/>
      <c r="E184" s="16"/>
      <c r="F184" s="1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spans="1:49" ht="12.75" x14ac:dyDescent="0.2">
      <c r="A185" s="5"/>
      <c r="C185" s="15"/>
      <c r="D185" s="15"/>
      <c r="E185" s="16"/>
      <c r="F185" s="1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spans="1:49" ht="12.75" x14ac:dyDescent="0.2">
      <c r="A186" s="5"/>
      <c r="C186" s="15"/>
      <c r="D186" s="15"/>
      <c r="E186" s="16"/>
      <c r="F186" s="1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spans="1:49" ht="12.75" x14ac:dyDescent="0.2">
      <c r="A187" s="5"/>
      <c r="C187" s="15"/>
      <c r="D187" s="15"/>
      <c r="E187" s="16"/>
      <c r="F187" s="1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spans="1:49" ht="12.75" x14ac:dyDescent="0.2">
      <c r="A188" s="5"/>
      <c r="C188" s="15"/>
      <c r="D188" s="15"/>
      <c r="E188" s="16"/>
      <c r="F188" s="1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spans="1:49" ht="12.75" x14ac:dyDescent="0.2">
      <c r="A189" s="5"/>
      <c r="C189" s="15"/>
      <c r="D189" s="15"/>
      <c r="E189" s="16"/>
      <c r="F189" s="1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spans="1:49" ht="12.75" x14ac:dyDescent="0.2">
      <c r="A190" s="5"/>
      <c r="C190" s="15"/>
      <c r="D190" s="15"/>
      <c r="E190" s="16"/>
      <c r="F190" s="1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spans="1:49" ht="12.75" x14ac:dyDescent="0.2">
      <c r="A191" s="5"/>
      <c r="C191" s="15"/>
      <c r="D191" s="15"/>
      <c r="E191" s="16"/>
      <c r="F191" s="1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spans="1:49" ht="12.75" x14ac:dyDescent="0.2">
      <c r="A192" s="5"/>
      <c r="C192" s="15"/>
      <c r="D192" s="15"/>
      <c r="E192" s="16"/>
      <c r="F192" s="1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spans="1:49" ht="12.75" x14ac:dyDescent="0.2">
      <c r="A193" s="5"/>
      <c r="C193" s="15"/>
      <c r="D193" s="15"/>
      <c r="E193" s="16"/>
      <c r="F193" s="1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spans="1:49" ht="12.75" x14ac:dyDescent="0.2">
      <c r="A194" s="5"/>
      <c r="C194" s="15"/>
      <c r="D194" s="15"/>
      <c r="E194" s="16"/>
      <c r="F194" s="1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spans="1:49" ht="12.75" x14ac:dyDescent="0.2">
      <c r="A195" s="5"/>
      <c r="C195" s="15"/>
      <c r="D195" s="15"/>
      <c r="E195" s="16"/>
      <c r="F195" s="1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spans="1:49" ht="12.75" x14ac:dyDescent="0.2">
      <c r="A196" s="5"/>
      <c r="C196" s="15"/>
      <c r="D196" s="15"/>
      <c r="E196" s="16"/>
      <c r="F196" s="1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spans="1:49" ht="12.75" x14ac:dyDescent="0.2">
      <c r="A197" s="5"/>
      <c r="C197" s="15"/>
      <c r="D197" s="15"/>
      <c r="E197" s="16"/>
      <c r="F197" s="1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pans="1:49" ht="12.75" x14ac:dyDescent="0.2">
      <c r="A198" s="5"/>
      <c r="C198" s="15"/>
      <c r="D198" s="15"/>
      <c r="E198" s="16"/>
      <c r="F198" s="1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pans="1:49" ht="12.75" x14ac:dyDescent="0.2">
      <c r="A199" s="5"/>
      <c r="C199" s="15"/>
      <c r="D199" s="15"/>
      <c r="E199" s="16"/>
      <c r="F199" s="1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pans="1:49" ht="12.75" x14ac:dyDescent="0.2">
      <c r="A200" s="5"/>
      <c r="C200" s="15"/>
      <c r="D200" s="15"/>
      <c r="E200" s="16"/>
      <c r="F200" s="1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pans="1:49" ht="12.75" x14ac:dyDescent="0.2">
      <c r="A201" s="5"/>
      <c r="C201" s="15"/>
      <c r="D201" s="15"/>
      <c r="E201" s="16"/>
      <c r="F201" s="1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pans="1:49" ht="12.75" x14ac:dyDescent="0.2">
      <c r="A202" s="5"/>
      <c r="C202" s="15"/>
      <c r="D202" s="15"/>
      <c r="E202" s="16"/>
      <c r="F202" s="1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pans="1:49" ht="12.75" x14ac:dyDescent="0.2">
      <c r="A203" s="5"/>
      <c r="C203" s="15"/>
      <c r="D203" s="15"/>
      <c r="E203" s="16"/>
      <c r="F203" s="1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pans="1:49" ht="12.75" x14ac:dyDescent="0.2">
      <c r="A204" s="5"/>
      <c r="C204" s="15"/>
      <c r="D204" s="15"/>
      <c r="E204" s="16"/>
      <c r="F204" s="1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pans="1:49" ht="12.75" x14ac:dyDescent="0.2">
      <c r="A205" s="5"/>
      <c r="C205" s="15"/>
      <c r="D205" s="15"/>
      <c r="E205" s="16"/>
      <c r="F205" s="1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pans="1:49" ht="12.75" x14ac:dyDescent="0.2">
      <c r="A206" s="5"/>
      <c r="C206" s="15"/>
      <c r="D206" s="15"/>
      <c r="E206" s="16"/>
      <c r="F206" s="1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pans="1:49" ht="12.75" x14ac:dyDescent="0.2">
      <c r="A207" s="5"/>
      <c r="C207" s="15"/>
      <c r="D207" s="15"/>
      <c r="E207" s="16"/>
      <c r="F207" s="1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pans="1:49" ht="12.75" x14ac:dyDescent="0.2">
      <c r="A208" s="5"/>
      <c r="C208" s="15"/>
      <c r="D208" s="15"/>
      <c r="E208" s="16"/>
      <c r="F208" s="1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pans="1:49" ht="12.75" x14ac:dyDescent="0.2">
      <c r="A209" s="5"/>
      <c r="C209" s="15"/>
      <c r="D209" s="15"/>
      <c r="E209" s="16"/>
      <c r="F209" s="1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pans="1:49" ht="12.75" x14ac:dyDescent="0.2">
      <c r="A210" s="5"/>
      <c r="C210" s="15"/>
      <c r="D210" s="15"/>
      <c r="E210" s="16"/>
      <c r="F210" s="1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pans="1:49" ht="12.75" x14ac:dyDescent="0.2">
      <c r="A211" s="5"/>
      <c r="C211" s="15"/>
      <c r="D211" s="15"/>
      <c r="E211" s="16"/>
      <c r="F211" s="1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pans="1:49" ht="12.75" x14ac:dyDescent="0.2">
      <c r="A212" s="5"/>
      <c r="C212" s="15"/>
      <c r="D212" s="15"/>
      <c r="E212" s="16"/>
      <c r="F212" s="1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pans="1:49" ht="12.75" x14ac:dyDescent="0.2">
      <c r="A213" s="5"/>
      <c r="C213" s="15"/>
      <c r="D213" s="15"/>
      <c r="E213" s="16"/>
      <c r="F213" s="1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pans="1:49" ht="12.75" x14ac:dyDescent="0.2">
      <c r="A214" s="5"/>
      <c r="C214" s="15"/>
      <c r="D214" s="15"/>
      <c r="E214" s="16"/>
      <c r="F214" s="1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pans="1:49" ht="12.75" x14ac:dyDescent="0.2">
      <c r="A215" s="5"/>
      <c r="C215" s="15"/>
      <c r="D215" s="15"/>
      <c r="E215" s="16"/>
      <c r="F215" s="1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pans="1:49" ht="12.75" x14ac:dyDescent="0.2">
      <c r="A216" s="5"/>
      <c r="C216" s="15"/>
      <c r="D216" s="15"/>
      <c r="E216" s="16"/>
      <c r="F216" s="1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ht="12.75" x14ac:dyDescent="0.2">
      <c r="A217" s="5"/>
      <c r="C217" s="15"/>
      <c r="D217" s="15"/>
      <c r="E217" s="16"/>
      <c r="F217" s="1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pans="1:49" ht="12.75" x14ac:dyDescent="0.2">
      <c r="A218" s="5"/>
      <c r="C218" s="15"/>
      <c r="D218" s="15"/>
      <c r="E218" s="16"/>
      <c r="F218" s="1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pans="1:49" ht="12.75" x14ac:dyDescent="0.2">
      <c r="A219" s="5"/>
      <c r="C219" s="15"/>
      <c r="D219" s="15"/>
      <c r="E219" s="16"/>
      <c r="F219" s="1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pans="1:49" ht="12.75" x14ac:dyDescent="0.2">
      <c r="A220" s="5"/>
      <c r="C220" s="15"/>
      <c r="D220" s="15"/>
      <c r="E220" s="16"/>
      <c r="F220" s="1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pans="1:49" ht="12.75" x14ac:dyDescent="0.2">
      <c r="A221" s="5"/>
      <c r="C221" s="15"/>
      <c r="D221" s="15"/>
      <c r="E221" s="16"/>
      <c r="F221" s="1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pans="1:49" ht="12.75" x14ac:dyDescent="0.2">
      <c r="A222" s="5"/>
      <c r="C222" s="15"/>
      <c r="D222" s="15"/>
      <c r="E222" s="16"/>
      <c r="F222" s="1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pans="1:49" ht="12.75" x14ac:dyDescent="0.2">
      <c r="A223" s="5"/>
      <c r="C223" s="15"/>
      <c r="D223" s="15"/>
      <c r="E223" s="16"/>
      <c r="F223" s="1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pans="1:49" ht="12.75" x14ac:dyDescent="0.2">
      <c r="A224" s="5"/>
      <c r="C224" s="15"/>
      <c r="D224" s="15"/>
      <c r="E224" s="16"/>
      <c r="F224" s="1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pans="1:49" ht="12.75" x14ac:dyDescent="0.2">
      <c r="A225" s="5"/>
      <c r="C225" s="15"/>
      <c r="D225" s="15"/>
      <c r="E225" s="16"/>
      <c r="F225" s="1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ht="12.75" x14ac:dyDescent="0.2">
      <c r="A226" s="5"/>
      <c r="C226" s="15"/>
      <c r="D226" s="15"/>
      <c r="E226" s="16"/>
      <c r="F226" s="1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ht="12.75" x14ac:dyDescent="0.2">
      <c r="A227" s="5"/>
      <c r="C227" s="15"/>
      <c r="D227" s="15"/>
      <c r="E227" s="16"/>
      <c r="F227" s="1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ht="12.75" x14ac:dyDescent="0.2">
      <c r="A228" s="5"/>
      <c r="C228" s="15"/>
      <c r="D228" s="15"/>
      <c r="E228" s="16"/>
      <c r="F228" s="1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ht="12.75" x14ac:dyDescent="0.2">
      <c r="A229" s="5"/>
      <c r="C229" s="15"/>
      <c r="D229" s="15"/>
      <c r="E229" s="16"/>
      <c r="F229" s="1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pans="1:49" ht="12.75" x14ac:dyDescent="0.2">
      <c r="A230" s="5"/>
      <c r="C230" s="15"/>
      <c r="D230" s="15"/>
      <c r="E230" s="16"/>
      <c r="F230" s="1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pans="1:49" ht="12.75" x14ac:dyDescent="0.2">
      <c r="A231" s="5"/>
      <c r="C231" s="15"/>
      <c r="D231" s="15"/>
      <c r="E231" s="16"/>
      <c r="F231" s="1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pans="1:49" ht="12.75" x14ac:dyDescent="0.2">
      <c r="A232" s="5"/>
      <c r="C232" s="15"/>
      <c r="D232" s="15"/>
      <c r="E232" s="16"/>
      <c r="F232" s="1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pans="1:49" ht="12.75" x14ac:dyDescent="0.2">
      <c r="A233" s="5"/>
      <c r="C233" s="15"/>
      <c r="D233" s="15"/>
      <c r="E233" s="16"/>
      <c r="F233" s="1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pans="1:49" ht="12.75" x14ac:dyDescent="0.2">
      <c r="A234" s="5"/>
      <c r="C234" s="15"/>
      <c r="D234" s="15"/>
      <c r="E234" s="16"/>
      <c r="F234" s="1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ht="12.75" x14ac:dyDescent="0.2">
      <c r="A235" s="5"/>
      <c r="C235" s="15"/>
      <c r="D235" s="15"/>
      <c r="E235" s="16"/>
      <c r="F235" s="1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pans="1:49" ht="12.75" x14ac:dyDescent="0.2">
      <c r="A236" s="5"/>
      <c r="C236" s="15"/>
      <c r="D236" s="15"/>
      <c r="E236" s="16"/>
      <c r="F236" s="1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spans="1:49" ht="12.75" x14ac:dyDescent="0.2">
      <c r="A237" s="5"/>
      <c r="C237" s="15"/>
      <c r="D237" s="15"/>
      <c r="E237" s="16"/>
      <c r="F237" s="1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spans="1:49" ht="12.75" x14ac:dyDescent="0.2">
      <c r="A238" s="5"/>
      <c r="C238" s="15"/>
      <c r="D238" s="15"/>
      <c r="E238" s="16"/>
      <c r="F238" s="1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spans="1:49" ht="12.75" x14ac:dyDescent="0.2">
      <c r="A239" s="5"/>
      <c r="C239" s="15"/>
      <c r="D239" s="15"/>
      <c r="E239" s="16"/>
      <c r="F239" s="1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spans="1:49" ht="12.75" x14ac:dyDescent="0.2">
      <c r="A240" s="5"/>
      <c r="C240" s="15"/>
      <c r="D240" s="15"/>
      <c r="E240" s="16"/>
      <c r="F240" s="1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spans="1:49" ht="12.75" x14ac:dyDescent="0.2">
      <c r="A241" s="5"/>
      <c r="C241" s="15"/>
      <c r="D241" s="15"/>
      <c r="E241" s="16"/>
      <c r="F241" s="1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spans="1:49" ht="12.75" x14ac:dyDescent="0.2">
      <c r="A242" s="5"/>
      <c r="C242" s="15"/>
      <c r="D242" s="15"/>
      <c r="E242" s="16"/>
      <c r="F242" s="1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spans="1:49" ht="12.75" x14ac:dyDescent="0.2">
      <c r="A243" s="5"/>
      <c r="C243" s="15"/>
      <c r="D243" s="15"/>
      <c r="E243" s="16"/>
      <c r="F243" s="1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spans="1:49" ht="12.75" x14ac:dyDescent="0.2">
      <c r="A244" s="5"/>
      <c r="C244" s="15"/>
      <c r="D244" s="15"/>
      <c r="E244" s="16"/>
      <c r="F244" s="1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spans="1:49" ht="12.75" x14ac:dyDescent="0.2">
      <c r="A245" s="5"/>
      <c r="C245" s="15"/>
      <c r="D245" s="15"/>
      <c r="E245" s="16"/>
      <c r="F245" s="1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spans="1:49" ht="12.75" x14ac:dyDescent="0.2">
      <c r="A246" s="5"/>
      <c r="C246" s="15"/>
      <c r="D246" s="15"/>
      <c r="E246" s="16"/>
      <c r="F246" s="1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spans="1:49" ht="12.75" x14ac:dyDescent="0.2">
      <c r="A247" s="5"/>
      <c r="C247" s="15"/>
      <c r="D247" s="15"/>
      <c r="E247" s="16"/>
      <c r="F247" s="1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spans="1:49" ht="12.75" x14ac:dyDescent="0.2">
      <c r="A248" s="5"/>
      <c r="C248" s="15"/>
      <c r="D248" s="15"/>
      <c r="E248" s="16"/>
      <c r="F248" s="1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spans="1:49" ht="12.75" x14ac:dyDescent="0.2">
      <c r="A249" s="5"/>
      <c r="C249" s="15"/>
      <c r="D249" s="15"/>
      <c r="E249" s="16"/>
      <c r="F249" s="1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spans="1:49" ht="12.75" x14ac:dyDescent="0.2">
      <c r="A250" s="5"/>
      <c r="C250" s="15"/>
      <c r="D250" s="15"/>
      <c r="E250" s="16"/>
      <c r="F250" s="1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ht="12.75" x14ac:dyDescent="0.2">
      <c r="A251" s="5"/>
      <c r="C251" s="15"/>
      <c r="D251" s="15"/>
      <c r="E251" s="16"/>
      <c r="F251" s="1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spans="1:49" ht="12.75" x14ac:dyDescent="0.2">
      <c r="A252" s="5"/>
      <c r="C252" s="15"/>
      <c r="D252" s="15"/>
      <c r="E252" s="16"/>
      <c r="F252" s="1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spans="1:49" ht="12.75" x14ac:dyDescent="0.2">
      <c r="A253" s="5"/>
      <c r="C253" s="15"/>
      <c r="D253" s="15"/>
      <c r="E253" s="16"/>
      <c r="F253" s="1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spans="1:49" ht="12.75" x14ac:dyDescent="0.2">
      <c r="A254" s="5"/>
      <c r="C254" s="15"/>
      <c r="D254" s="15"/>
      <c r="E254" s="16"/>
      <c r="F254" s="1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spans="1:49" ht="12.75" x14ac:dyDescent="0.2">
      <c r="A255" s="5"/>
      <c r="C255" s="15"/>
      <c r="D255" s="15"/>
      <c r="E255" s="16"/>
      <c r="F255" s="1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spans="1:49" ht="12.75" x14ac:dyDescent="0.2">
      <c r="A256" s="5"/>
      <c r="C256" s="15"/>
      <c r="D256" s="15"/>
      <c r="E256" s="16"/>
      <c r="F256" s="1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spans="1:49" ht="12.75" x14ac:dyDescent="0.2">
      <c r="A257" s="5"/>
      <c r="C257" s="15"/>
      <c r="D257" s="15"/>
      <c r="E257" s="16"/>
      <c r="F257" s="1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spans="1:49" ht="12.75" x14ac:dyDescent="0.2">
      <c r="A258" s="5"/>
      <c r="C258" s="15"/>
      <c r="D258" s="15"/>
      <c r="E258" s="16"/>
      <c r="F258" s="1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spans="1:49" ht="12.75" x14ac:dyDescent="0.2">
      <c r="A259" s="5"/>
      <c r="C259" s="15"/>
      <c r="D259" s="15"/>
      <c r="E259" s="16"/>
      <c r="F259" s="1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spans="1:49" ht="12.75" x14ac:dyDescent="0.2">
      <c r="A260" s="5"/>
      <c r="C260" s="15"/>
      <c r="D260" s="15"/>
      <c r="E260" s="16"/>
      <c r="F260" s="1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spans="1:49" ht="12.75" x14ac:dyDescent="0.2">
      <c r="A261" s="5"/>
      <c r="C261" s="15"/>
      <c r="D261" s="15"/>
      <c r="E261" s="16"/>
      <c r="F261" s="1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spans="1:49" ht="12.75" x14ac:dyDescent="0.2">
      <c r="A262" s="5"/>
      <c r="C262" s="15"/>
      <c r="D262" s="15"/>
      <c r="E262" s="16"/>
      <c r="F262" s="1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spans="1:49" ht="12.75" x14ac:dyDescent="0.2">
      <c r="A263" s="5"/>
      <c r="C263" s="15"/>
      <c r="D263" s="15"/>
      <c r="E263" s="16"/>
      <c r="F263" s="1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spans="1:49" ht="12.75" x14ac:dyDescent="0.2">
      <c r="A264" s="5"/>
      <c r="C264" s="15"/>
      <c r="D264" s="15"/>
      <c r="E264" s="16"/>
      <c r="F264" s="1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spans="1:49" ht="12.75" x14ac:dyDescent="0.2">
      <c r="A265" s="5"/>
      <c r="C265" s="15"/>
      <c r="D265" s="15"/>
      <c r="E265" s="16"/>
      <c r="F265" s="1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spans="1:49" ht="12.75" x14ac:dyDescent="0.2">
      <c r="A266" s="5"/>
      <c r="C266" s="15"/>
      <c r="D266" s="15"/>
      <c r="E266" s="16"/>
      <c r="F266" s="1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spans="1:49" ht="12.75" x14ac:dyDescent="0.2">
      <c r="A267" s="5"/>
      <c r="C267" s="15"/>
      <c r="D267" s="15"/>
      <c r="E267" s="16"/>
      <c r="F267" s="1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spans="1:49" ht="12.75" x14ac:dyDescent="0.2">
      <c r="A268" s="5"/>
      <c r="C268" s="15"/>
      <c r="D268" s="15"/>
      <c r="E268" s="16"/>
      <c r="F268" s="1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spans="1:49" ht="12.75" x14ac:dyDescent="0.2">
      <c r="A269" s="5"/>
      <c r="C269" s="15"/>
      <c r="D269" s="15"/>
      <c r="E269" s="16"/>
      <c r="F269" s="1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spans="1:49" ht="12.75" x14ac:dyDescent="0.2">
      <c r="A270" s="5"/>
      <c r="C270" s="15"/>
      <c r="D270" s="15"/>
      <c r="E270" s="16"/>
      <c r="F270" s="1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spans="1:49" ht="12.75" x14ac:dyDescent="0.2">
      <c r="A271" s="5"/>
      <c r="C271" s="15"/>
      <c r="D271" s="15"/>
      <c r="E271" s="16"/>
      <c r="F271" s="1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spans="1:49" ht="12.75" x14ac:dyDescent="0.2">
      <c r="A272" s="5"/>
      <c r="C272" s="15"/>
      <c r="D272" s="15"/>
      <c r="E272" s="16"/>
      <c r="F272" s="1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spans="1:49" ht="12.75" x14ac:dyDescent="0.2">
      <c r="A273" s="5"/>
      <c r="C273" s="15"/>
      <c r="D273" s="15"/>
      <c r="E273" s="16"/>
      <c r="F273" s="1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spans="1:49" ht="12.75" x14ac:dyDescent="0.2">
      <c r="A274" s="5"/>
      <c r="C274" s="15"/>
      <c r="D274" s="15"/>
      <c r="E274" s="16"/>
      <c r="F274" s="1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spans="1:49" ht="12.75" x14ac:dyDescent="0.2">
      <c r="A275" s="5"/>
      <c r="C275" s="15"/>
      <c r="D275" s="15"/>
      <c r="E275" s="16"/>
      <c r="F275" s="1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spans="1:49" ht="12.75" x14ac:dyDescent="0.2">
      <c r="A276" s="5"/>
      <c r="C276" s="15"/>
      <c r="D276" s="15"/>
      <c r="E276" s="16"/>
      <c r="F276" s="1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spans="1:49" ht="12.75" x14ac:dyDescent="0.2">
      <c r="A277" s="5"/>
      <c r="C277" s="15"/>
      <c r="D277" s="15"/>
      <c r="E277" s="16"/>
      <c r="F277" s="1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spans="1:49" ht="12.75" x14ac:dyDescent="0.2">
      <c r="A278" s="5"/>
      <c r="C278" s="15"/>
      <c r="D278" s="15"/>
      <c r="E278" s="16"/>
      <c r="F278" s="1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spans="1:49" ht="12.75" x14ac:dyDescent="0.2">
      <c r="A279" s="5"/>
      <c r="C279" s="15"/>
      <c r="D279" s="15"/>
      <c r="E279" s="16"/>
      <c r="F279" s="1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spans="1:49" ht="12.75" x14ac:dyDescent="0.2">
      <c r="A280" s="5"/>
      <c r="C280" s="15"/>
      <c r="D280" s="15"/>
      <c r="E280" s="16"/>
      <c r="F280" s="1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spans="1:49" ht="12.75" x14ac:dyDescent="0.2">
      <c r="A281" s="5"/>
      <c r="C281" s="15"/>
      <c r="D281" s="15"/>
      <c r="E281" s="16"/>
      <c r="F281" s="1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spans="1:49" ht="12.75" x14ac:dyDescent="0.2">
      <c r="A282" s="5"/>
      <c r="C282" s="15"/>
      <c r="D282" s="15"/>
      <c r="E282" s="16"/>
      <c r="F282" s="1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spans="1:49" ht="12.75" x14ac:dyDescent="0.2">
      <c r="A283" s="5"/>
      <c r="C283" s="15"/>
      <c r="D283" s="15"/>
      <c r="E283" s="16"/>
      <c r="F283" s="15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spans="1:49" ht="12.75" x14ac:dyDescent="0.2">
      <c r="A284" s="5"/>
      <c r="C284" s="15"/>
      <c r="D284" s="15"/>
      <c r="E284" s="16"/>
      <c r="F284" s="15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spans="1:49" ht="12.75" x14ac:dyDescent="0.2">
      <c r="A285" s="5"/>
      <c r="C285" s="15"/>
      <c r="D285" s="15"/>
      <c r="E285" s="16"/>
      <c r="F285" s="15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spans="1:49" ht="12.75" x14ac:dyDescent="0.2">
      <c r="A286" s="5"/>
      <c r="C286" s="15"/>
      <c r="D286" s="15"/>
      <c r="E286" s="16"/>
      <c r="F286" s="15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spans="1:49" ht="12.75" x14ac:dyDescent="0.2">
      <c r="A287" s="5"/>
      <c r="C287" s="15"/>
      <c r="D287" s="15"/>
      <c r="E287" s="16"/>
      <c r="F287" s="15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spans="1:49" ht="12.75" x14ac:dyDescent="0.2">
      <c r="A288" s="5"/>
      <c r="C288" s="15"/>
      <c r="D288" s="15"/>
      <c r="E288" s="16"/>
      <c r="F288" s="15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spans="1:49" ht="12.75" x14ac:dyDescent="0.2">
      <c r="A289" s="5"/>
      <c r="C289" s="15"/>
      <c r="D289" s="15"/>
      <c r="E289" s="16"/>
      <c r="F289" s="15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spans="1:49" ht="12.75" x14ac:dyDescent="0.2">
      <c r="A290" s="5"/>
      <c r="C290" s="15"/>
      <c r="D290" s="15"/>
      <c r="E290" s="16"/>
      <c r="F290" s="15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spans="1:49" ht="12.75" x14ac:dyDescent="0.2">
      <c r="A291" s="5"/>
      <c r="C291" s="15"/>
      <c r="D291" s="15"/>
      <c r="E291" s="16"/>
      <c r="F291" s="15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spans="1:49" ht="12.75" x14ac:dyDescent="0.2">
      <c r="A292" s="5"/>
      <c r="C292" s="15"/>
      <c r="D292" s="15"/>
      <c r="E292" s="16"/>
      <c r="F292" s="15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spans="1:49" ht="12.75" x14ac:dyDescent="0.2">
      <c r="A293" s="5"/>
      <c r="C293" s="15"/>
      <c r="D293" s="15"/>
      <c r="E293" s="16"/>
      <c r="F293" s="15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spans="1:49" ht="12.75" x14ac:dyDescent="0.2">
      <c r="A294" s="5"/>
      <c r="C294" s="15"/>
      <c r="D294" s="15"/>
      <c r="E294" s="16"/>
      <c r="F294" s="15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spans="1:49" ht="12.75" x14ac:dyDescent="0.2">
      <c r="A295" s="5"/>
      <c r="C295" s="15"/>
      <c r="D295" s="15"/>
      <c r="E295" s="16"/>
      <c r="F295" s="15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spans="1:49" ht="12.75" x14ac:dyDescent="0.2">
      <c r="A296" s="5"/>
      <c r="C296" s="15"/>
      <c r="D296" s="15"/>
      <c r="E296" s="16"/>
      <c r="F296" s="15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spans="1:49" ht="12.75" x14ac:dyDescent="0.2">
      <c r="A297" s="5"/>
      <c r="C297" s="15"/>
      <c r="D297" s="15"/>
      <c r="E297" s="16"/>
      <c r="F297" s="15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spans="1:49" ht="12.75" x14ac:dyDescent="0.2">
      <c r="A298" s="5"/>
      <c r="C298" s="15"/>
      <c r="D298" s="15"/>
      <c r="E298" s="16"/>
      <c r="F298" s="15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spans="1:49" ht="12.75" x14ac:dyDescent="0.2">
      <c r="A299" s="5"/>
      <c r="C299" s="15"/>
      <c r="D299" s="15"/>
      <c r="E299" s="16"/>
      <c r="F299" s="15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spans="1:49" ht="12.75" x14ac:dyDescent="0.2">
      <c r="A300" s="5"/>
      <c r="C300" s="15"/>
      <c r="D300" s="15"/>
      <c r="E300" s="16"/>
      <c r="F300" s="15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spans="1:49" ht="12.75" x14ac:dyDescent="0.2">
      <c r="A301" s="5"/>
      <c r="C301" s="15"/>
      <c r="D301" s="15"/>
      <c r="E301" s="16"/>
      <c r="F301" s="15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spans="1:49" ht="12.75" x14ac:dyDescent="0.2">
      <c r="A302" s="5"/>
      <c r="C302" s="15"/>
      <c r="D302" s="15"/>
      <c r="E302" s="16"/>
      <c r="F302" s="15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spans="1:49" ht="12.75" x14ac:dyDescent="0.2">
      <c r="A303" s="5"/>
      <c r="C303" s="15"/>
      <c r="D303" s="15"/>
      <c r="E303" s="16"/>
      <c r="F303" s="15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spans="1:49" ht="12.75" x14ac:dyDescent="0.2">
      <c r="A304" s="5"/>
      <c r="C304" s="15"/>
      <c r="D304" s="15"/>
      <c r="E304" s="16"/>
      <c r="F304" s="15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spans="1:49" ht="12.75" x14ac:dyDescent="0.2">
      <c r="A305" s="5"/>
      <c r="C305" s="15"/>
      <c r="D305" s="15"/>
      <c r="E305" s="16"/>
      <c r="F305" s="15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spans="1:49" ht="12.75" x14ac:dyDescent="0.2">
      <c r="A306" s="5"/>
      <c r="C306" s="15"/>
      <c r="D306" s="15"/>
      <c r="E306" s="16"/>
      <c r="F306" s="15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spans="1:49" ht="12.75" x14ac:dyDescent="0.2">
      <c r="A307" s="5"/>
      <c r="C307" s="15"/>
      <c r="D307" s="15"/>
      <c r="E307" s="16"/>
      <c r="F307" s="15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spans="1:49" ht="12.75" x14ac:dyDescent="0.2">
      <c r="A308" s="5"/>
      <c r="C308" s="15"/>
      <c r="D308" s="15"/>
      <c r="E308" s="16"/>
      <c r="F308" s="15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spans="1:49" ht="12.75" x14ac:dyDescent="0.2">
      <c r="A309" s="5"/>
      <c r="C309" s="15"/>
      <c r="D309" s="15"/>
      <c r="E309" s="16"/>
      <c r="F309" s="15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spans="1:49" ht="12.75" x14ac:dyDescent="0.2">
      <c r="A310" s="5"/>
      <c r="C310" s="15"/>
      <c r="D310" s="15"/>
      <c r="E310" s="16"/>
      <c r="F310" s="15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spans="1:49" ht="12.75" x14ac:dyDescent="0.2">
      <c r="A311" s="5"/>
      <c r="C311" s="15"/>
      <c r="D311" s="15"/>
      <c r="E311" s="16"/>
      <c r="F311" s="15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spans="1:49" ht="12.75" x14ac:dyDescent="0.2">
      <c r="A312" s="5"/>
      <c r="C312" s="15"/>
      <c r="D312" s="15"/>
      <c r="E312" s="16"/>
      <c r="F312" s="15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spans="1:49" ht="12.75" x14ac:dyDescent="0.2">
      <c r="A313" s="5"/>
      <c r="C313" s="15"/>
      <c r="D313" s="15"/>
      <c r="E313" s="16"/>
      <c r="F313" s="15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spans="1:49" ht="12.75" x14ac:dyDescent="0.2">
      <c r="A314" s="5"/>
      <c r="C314" s="15"/>
      <c r="D314" s="15"/>
      <c r="E314" s="16"/>
      <c r="F314" s="15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spans="1:49" ht="12.75" x14ac:dyDescent="0.2">
      <c r="A315" s="5"/>
      <c r="C315" s="15"/>
      <c r="D315" s="15"/>
      <c r="E315" s="16"/>
      <c r="F315" s="15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spans="1:49" ht="12.75" x14ac:dyDescent="0.2">
      <c r="A316" s="5"/>
      <c r="C316" s="15"/>
      <c r="D316" s="15"/>
      <c r="E316" s="16"/>
      <c r="F316" s="15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spans="1:49" ht="12.75" x14ac:dyDescent="0.2">
      <c r="A317" s="5"/>
      <c r="C317" s="15"/>
      <c r="D317" s="15"/>
      <c r="E317" s="16"/>
      <c r="F317" s="15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spans="1:49" ht="12.75" x14ac:dyDescent="0.2">
      <c r="A318" s="5"/>
      <c r="C318" s="15"/>
      <c r="D318" s="15"/>
      <c r="E318" s="16"/>
      <c r="F318" s="15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spans="1:49" ht="12.75" x14ac:dyDescent="0.2">
      <c r="A319" s="5"/>
      <c r="C319" s="15"/>
      <c r="D319" s="15"/>
      <c r="E319" s="16"/>
      <c r="F319" s="15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spans="1:49" ht="12.75" x14ac:dyDescent="0.2">
      <c r="A320" s="5"/>
      <c r="C320" s="15"/>
      <c r="D320" s="15"/>
      <c r="E320" s="16"/>
      <c r="F320" s="15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spans="1:49" ht="12.75" x14ac:dyDescent="0.2">
      <c r="A321" s="5"/>
      <c r="C321" s="15"/>
      <c r="D321" s="15"/>
      <c r="E321" s="16"/>
      <c r="F321" s="15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spans="1:49" ht="12.75" x14ac:dyDescent="0.2">
      <c r="A322" s="5"/>
      <c r="C322" s="15"/>
      <c r="D322" s="15"/>
      <c r="E322" s="16"/>
      <c r="F322" s="15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spans="1:49" ht="12.75" x14ac:dyDescent="0.2">
      <c r="A323" s="5"/>
      <c r="C323" s="15"/>
      <c r="D323" s="15"/>
      <c r="E323" s="16"/>
      <c r="F323" s="15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spans="1:49" ht="12.75" x14ac:dyDescent="0.2">
      <c r="A324" s="5"/>
      <c r="C324" s="15"/>
      <c r="D324" s="15"/>
      <c r="E324" s="16"/>
      <c r="F324" s="15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spans="1:49" ht="12.75" x14ac:dyDescent="0.2">
      <c r="A325" s="5"/>
      <c r="C325" s="15"/>
      <c r="D325" s="15"/>
      <c r="E325" s="16"/>
      <c r="F325" s="15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spans="1:49" ht="12.75" x14ac:dyDescent="0.2">
      <c r="A326" s="5"/>
      <c r="C326" s="15"/>
      <c r="D326" s="15"/>
      <c r="E326" s="16"/>
      <c r="F326" s="15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spans="1:49" ht="12.75" x14ac:dyDescent="0.2">
      <c r="A327" s="5"/>
      <c r="C327" s="15"/>
      <c r="D327" s="15"/>
      <c r="E327" s="16"/>
      <c r="F327" s="15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spans="1:49" ht="12.75" x14ac:dyDescent="0.2">
      <c r="A328" s="5"/>
      <c r="C328" s="15"/>
      <c r="D328" s="15"/>
      <c r="E328" s="16"/>
      <c r="F328" s="15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spans="1:49" ht="12.75" x14ac:dyDescent="0.2">
      <c r="A329" s="5"/>
      <c r="C329" s="15"/>
      <c r="D329" s="15"/>
      <c r="E329" s="16"/>
      <c r="F329" s="15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spans="1:49" ht="12.75" x14ac:dyDescent="0.2">
      <c r="A330" s="5"/>
      <c r="C330" s="15"/>
      <c r="D330" s="15"/>
      <c r="E330" s="16"/>
      <c r="F330" s="15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spans="1:49" ht="12.75" x14ac:dyDescent="0.2">
      <c r="A331" s="5"/>
      <c r="C331" s="15"/>
      <c r="D331" s="15"/>
      <c r="E331" s="16"/>
      <c r="F331" s="15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spans="1:49" ht="12.75" x14ac:dyDescent="0.2">
      <c r="A332" s="5"/>
      <c r="C332" s="15"/>
      <c r="D332" s="15"/>
      <c r="E332" s="16"/>
      <c r="F332" s="15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spans="1:49" ht="12.75" x14ac:dyDescent="0.2">
      <c r="A333" s="5"/>
      <c r="C333" s="15"/>
      <c r="D333" s="15"/>
      <c r="E333" s="16"/>
      <c r="F333" s="15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spans="1:49" ht="12.75" x14ac:dyDescent="0.2">
      <c r="A334" s="5"/>
      <c r="C334" s="15"/>
      <c r="D334" s="15"/>
      <c r="E334" s="16"/>
      <c r="F334" s="15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spans="1:49" ht="12.75" x14ac:dyDescent="0.2">
      <c r="A335" s="5"/>
      <c r="C335" s="15"/>
      <c r="D335" s="15"/>
      <c r="E335" s="16"/>
      <c r="F335" s="15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spans="1:49" ht="12.75" x14ac:dyDescent="0.2">
      <c r="A336" s="5"/>
      <c r="C336" s="15"/>
      <c r="D336" s="15"/>
      <c r="E336" s="16"/>
      <c r="F336" s="15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spans="1:49" ht="12.75" x14ac:dyDescent="0.2">
      <c r="A337" s="5"/>
      <c r="C337" s="15"/>
      <c r="D337" s="15"/>
      <c r="E337" s="16"/>
      <c r="F337" s="15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spans="1:49" ht="12.75" x14ac:dyDescent="0.2">
      <c r="A338" s="5"/>
      <c r="C338" s="15"/>
      <c r="D338" s="15"/>
      <c r="E338" s="16"/>
      <c r="F338" s="15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spans="1:49" ht="12.75" x14ac:dyDescent="0.2">
      <c r="A339" s="5"/>
      <c r="C339" s="15"/>
      <c r="D339" s="15"/>
      <c r="E339" s="16"/>
      <c r="F339" s="15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spans="1:49" ht="12.75" x14ac:dyDescent="0.2">
      <c r="A340" s="5"/>
      <c r="C340" s="15"/>
      <c r="D340" s="15"/>
      <c r="E340" s="16"/>
      <c r="F340" s="15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spans="1:49" ht="12.75" x14ac:dyDescent="0.2">
      <c r="A341" s="5"/>
      <c r="C341" s="15"/>
      <c r="D341" s="15"/>
      <c r="E341" s="16"/>
      <c r="F341" s="15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spans="1:49" ht="12.75" x14ac:dyDescent="0.2">
      <c r="A342" s="5"/>
      <c r="C342" s="15"/>
      <c r="D342" s="15"/>
      <c r="E342" s="16"/>
      <c r="F342" s="15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spans="1:49" ht="12.75" x14ac:dyDescent="0.2">
      <c r="A343" s="5"/>
      <c r="C343" s="15"/>
      <c r="D343" s="15"/>
      <c r="E343" s="16"/>
      <c r="F343" s="15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spans="1:49" ht="12.75" x14ac:dyDescent="0.2">
      <c r="A344" s="5"/>
      <c r="C344" s="15"/>
      <c r="D344" s="15"/>
      <c r="E344" s="16"/>
      <c r="F344" s="15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spans="1:49" ht="12.75" x14ac:dyDescent="0.2">
      <c r="A345" s="5"/>
      <c r="C345" s="15"/>
      <c r="D345" s="15"/>
      <c r="E345" s="16"/>
      <c r="F345" s="15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spans="1:49" ht="12.75" x14ac:dyDescent="0.2">
      <c r="A346" s="5"/>
      <c r="C346" s="15"/>
      <c r="D346" s="15"/>
      <c r="E346" s="16"/>
      <c r="F346" s="15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spans="1:49" ht="12.75" x14ac:dyDescent="0.2">
      <c r="A347" s="5"/>
      <c r="C347" s="15"/>
      <c r="D347" s="15"/>
      <c r="E347" s="16"/>
      <c r="F347" s="15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spans="1:49" ht="12.75" x14ac:dyDescent="0.2">
      <c r="A348" s="5"/>
      <c r="C348" s="15"/>
      <c r="D348" s="15"/>
      <c r="E348" s="16"/>
      <c r="F348" s="15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spans="1:49" ht="12.75" x14ac:dyDescent="0.2">
      <c r="A349" s="5"/>
      <c r="C349" s="15"/>
      <c r="D349" s="15"/>
      <c r="E349" s="16"/>
      <c r="F349" s="15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spans="1:49" ht="12.75" x14ac:dyDescent="0.2">
      <c r="A350" s="5"/>
      <c r="C350" s="15"/>
      <c r="D350" s="15"/>
      <c r="E350" s="16"/>
      <c r="F350" s="15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spans="1:49" ht="12.75" x14ac:dyDescent="0.2">
      <c r="A351" s="5"/>
      <c r="C351" s="15"/>
      <c r="D351" s="15"/>
      <c r="E351" s="16"/>
      <c r="F351" s="15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spans="1:49" ht="12.75" x14ac:dyDescent="0.2">
      <c r="A352" s="5"/>
      <c r="C352" s="15"/>
      <c r="D352" s="15"/>
      <c r="E352" s="16"/>
      <c r="F352" s="15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spans="1:49" ht="12.75" x14ac:dyDescent="0.2">
      <c r="A353" s="5"/>
      <c r="C353" s="15"/>
      <c r="D353" s="15"/>
      <c r="E353" s="16"/>
      <c r="F353" s="15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spans="1:49" ht="12.75" x14ac:dyDescent="0.2">
      <c r="A354" s="5"/>
      <c r="C354" s="15"/>
      <c r="D354" s="15"/>
      <c r="E354" s="16"/>
      <c r="F354" s="15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spans="1:49" ht="12.75" x14ac:dyDescent="0.2">
      <c r="A355" s="5"/>
      <c r="C355" s="15"/>
      <c r="D355" s="15"/>
      <c r="E355" s="16"/>
      <c r="F355" s="15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spans="1:49" ht="12.75" x14ac:dyDescent="0.2">
      <c r="A356" s="5"/>
      <c r="C356" s="15"/>
      <c r="D356" s="15"/>
      <c r="E356" s="16"/>
      <c r="F356" s="15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spans="1:49" ht="12.75" x14ac:dyDescent="0.2">
      <c r="A357" s="5"/>
      <c r="C357" s="15"/>
      <c r="D357" s="15"/>
      <c r="E357" s="16"/>
      <c r="F357" s="15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spans="1:49" ht="12.75" x14ac:dyDescent="0.2">
      <c r="A358" s="5"/>
      <c r="C358" s="15"/>
      <c r="D358" s="15"/>
      <c r="E358" s="16"/>
      <c r="F358" s="15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spans="1:49" ht="12.75" x14ac:dyDescent="0.2">
      <c r="A359" s="5"/>
      <c r="C359" s="15"/>
      <c r="D359" s="15"/>
      <c r="E359" s="16"/>
      <c r="F359" s="15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spans="1:49" ht="12.75" x14ac:dyDescent="0.2">
      <c r="A360" s="5"/>
      <c r="C360" s="15"/>
      <c r="D360" s="15"/>
      <c r="E360" s="16"/>
      <c r="F360" s="15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spans="1:49" ht="12.75" x14ac:dyDescent="0.2">
      <c r="A361" s="5"/>
      <c r="C361" s="15"/>
      <c r="D361" s="15"/>
      <c r="E361" s="16"/>
      <c r="F361" s="15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spans="1:49" ht="12.75" x14ac:dyDescent="0.2">
      <c r="A362" s="5"/>
      <c r="C362" s="15"/>
      <c r="D362" s="15"/>
      <c r="E362" s="16"/>
      <c r="F362" s="15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spans="1:49" ht="12.75" x14ac:dyDescent="0.2">
      <c r="A363" s="5"/>
      <c r="C363" s="15"/>
      <c r="D363" s="15"/>
      <c r="E363" s="16"/>
      <c r="F363" s="15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spans="1:49" ht="12.75" x14ac:dyDescent="0.2">
      <c r="A364" s="5"/>
      <c r="C364" s="15"/>
      <c r="D364" s="15"/>
      <c r="E364" s="16"/>
      <c r="F364" s="15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spans="1:49" ht="12.75" x14ac:dyDescent="0.2">
      <c r="A365" s="5"/>
      <c r="C365" s="15"/>
      <c r="D365" s="15"/>
      <c r="E365" s="16"/>
      <c r="F365" s="15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spans="1:49" ht="12.75" x14ac:dyDescent="0.2">
      <c r="A366" s="5"/>
      <c r="C366" s="15"/>
      <c r="D366" s="15"/>
      <c r="E366" s="16"/>
      <c r="F366" s="15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spans="1:49" ht="12.75" x14ac:dyDescent="0.2">
      <c r="A367" s="5"/>
      <c r="C367" s="15"/>
      <c r="D367" s="15"/>
      <c r="E367" s="16"/>
      <c r="F367" s="15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spans="1:49" ht="12.75" x14ac:dyDescent="0.2">
      <c r="A368" s="5"/>
      <c r="C368" s="15"/>
      <c r="D368" s="15"/>
      <c r="E368" s="16"/>
      <c r="F368" s="15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ht="12.75" x14ac:dyDescent="0.2">
      <c r="A369" s="5"/>
      <c r="C369" s="15"/>
      <c r="D369" s="15"/>
      <c r="E369" s="16"/>
      <c r="F369" s="15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spans="1:49" ht="12.75" x14ac:dyDescent="0.2">
      <c r="A370" s="5"/>
      <c r="C370" s="15"/>
      <c r="D370" s="15"/>
      <c r="E370" s="16"/>
      <c r="F370" s="15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spans="1:49" ht="12.75" x14ac:dyDescent="0.2">
      <c r="A371" s="5"/>
      <c r="C371" s="15"/>
      <c r="D371" s="15"/>
      <c r="E371" s="16"/>
      <c r="F371" s="15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spans="1:49" ht="12.75" x14ac:dyDescent="0.2">
      <c r="A372" s="5"/>
      <c r="C372" s="15"/>
      <c r="D372" s="15"/>
      <c r="E372" s="16"/>
      <c r="F372" s="15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spans="1:49" ht="12.75" x14ac:dyDescent="0.2">
      <c r="A373" s="5"/>
      <c r="C373" s="15"/>
      <c r="D373" s="15"/>
      <c r="E373" s="16"/>
      <c r="F373" s="15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spans="1:49" ht="12.75" x14ac:dyDescent="0.2">
      <c r="A374" s="5"/>
      <c r="C374" s="15"/>
      <c r="D374" s="15"/>
      <c r="E374" s="16"/>
      <c r="F374" s="15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spans="1:49" ht="12.75" x14ac:dyDescent="0.2">
      <c r="A375" s="5"/>
      <c r="C375" s="15"/>
      <c r="D375" s="15"/>
      <c r="E375" s="16"/>
      <c r="F375" s="15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spans="1:49" ht="12.75" x14ac:dyDescent="0.2">
      <c r="A376" s="5"/>
      <c r="C376" s="15"/>
      <c r="D376" s="15"/>
      <c r="E376" s="16"/>
      <c r="F376" s="15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spans="1:49" ht="12.75" x14ac:dyDescent="0.2">
      <c r="A377" s="5"/>
      <c r="C377" s="15"/>
      <c r="D377" s="15"/>
      <c r="E377" s="16"/>
      <c r="F377" s="15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spans="1:49" ht="12.75" x14ac:dyDescent="0.2">
      <c r="A378" s="5"/>
      <c r="C378" s="15"/>
      <c r="D378" s="15"/>
      <c r="E378" s="16"/>
      <c r="F378" s="15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spans="1:49" ht="12.75" x14ac:dyDescent="0.2">
      <c r="A379" s="5"/>
      <c r="C379" s="15"/>
      <c r="D379" s="15"/>
      <c r="E379" s="16"/>
      <c r="F379" s="15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spans="1:49" ht="12.75" x14ac:dyDescent="0.2">
      <c r="A380" s="5"/>
      <c r="C380" s="15"/>
      <c r="D380" s="15"/>
      <c r="E380" s="16"/>
      <c r="F380" s="15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spans="1:49" ht="12.75" x14ac:dyDescent="0.2">
      <c r="A381" s="5"/>
      <c r="C381" s="15"/>
      <c r="D381" s="15"/>
      <c r="E381" s="16"/>
      <c r="F381" s="15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spans="1:49" ht="12.75" x14ac:dyDescent="0.2">
      <c r="A382" s="5"/>
      <c r="C382" s="15"/>
      <c r="D382" s="15"/>
      <c r="E382" s="16"/>
      <c r="F382" s="15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ht="12.75" x14ac:dyDescent="0.2">
      <c r="A383" s="5"/>
      <c r="C383" s="15"/>
      <c r="D383" s="15"/>
      <c r="E383" s="16"/>
      <c r="F383" s="15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spans="1:49" ht="12.75" x14ac:dyDescent="0.2">
      <c r="A384" s="5"/>
      <c r="C384" s="15"/>
      <c r="D384" s="15"/>
      <c r="E384" s="16"/>
      <c r="F384" s="15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ht="12.75" x14ac:dyDescent="0.2">
      <c r="A385" s="5"/>
      <c r="C385" s="15"/>
      <c r="D385" s="15"/>
      <c r="E385" s="16"/>
      <c r="F385" s="15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spans="1:49" ht="12.75" x14ac:dyDescent="0.2">
      <c r="A386" s="5"/>
      <c r="C386" s="15"/>
      <c r="D386" s="15"/>
      <c r="E386" s="16"/>
      <c r="F386" s="15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spans="1:49" ht="12.75" x14ac:dyDescent="0.2">
      <c r="A387" s="5"/>
      <c r="C387" s="15"/>
      <c r="D387" s="15"/>
      <c r="E387" s="16"/>
      <c r="F387" s="15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spans="1:49" ht="12.75" x14ac:dyDescent="0.2">
      <c r="A388" s="5"/>
      <c r="C388" s="15"/>
      <c r="D388" s="15"/>
      <c r="E388" s="16"/>
      <c r="F388" s="15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spans="1:49" ht="12.75" x14ac:dyDescent="0.2">
      <c r="A389" s="5"/>
      <c r="C389" s="15"/>
      <c r="D389" s="15"/>
      <c r="E389" s="16"/>
      <c r="F389" s="15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spans="1:49" ht="12.75" x14ac:dyDescent="0.2">
      <c r="A390" s="5"/>
      <c r="C390" s="15"/>
      <c r="D390" s="15"/>
      <c r="E390" s="16"/>
      <c r="F390" s="15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spans="1:49" ht="12.75" x14ac:dyDescent="0.2">
      <c r="A391" s="5"/>
      <c r="C391" s="15"/>
      <c r="D391" s="15"/>
      <c r="E391" s="16"/>
      <c r="F391" s="15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spans="1:49" ht="12.75" x14ac:dyDescent="0.2">
      <c r="A392" s="5"/>
      <c r="C392" s="15"/>
      <c r="D392" s="15"/>
      <c r="E392" s="16"/>
      <c r="F392" s="15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spans="1:49" ht="12.75" x14ac:dyDescent="0.2">
      <c r="A393" s="5"/>
      <c r="C393" s="15"/>
      <c r="D393" s="15"/>
      <c r="E393" s="16"/>
      <c r="F393" s="15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spans="1:49" ht="12.75" x14ac:dyDescent="0.2">
      <c r="A394" s="5"/>
      <c r="C394" s="15"/>
      <c r="D394" s="15"/>
      <c r="E394" s="16"/>
      <c r="F394" s="15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spans="1:49" ht="12.75" x14ac:dyDescent="0.2">
      <c r="A395" s="5"/>
      <c r="C395" s="15"/>
      <c r="D395" s="15"/>
      <c r="E395" s="16"/>
      <c r="F395" s="15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spans="1:49" ht="12.75" x14ac:dyDescent="0.2">
      <c r="A396" s="5"/>
      <c r="C396" s="15"/>
      <c r="D396" s="15"/>
      <c r="E396" s="16"/>
      <c r="F396" s="15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spans="1:49" ht="12.75" x14ac:dyDescent="0.2">
      <c r="A397" s="5"/>
      <c r="C397" s="15"/>
      <c r="D397" s="15"/>
      <c r="E397" s="16"/>
      <c r="F397" s="15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spans="1:49" ht="12.75" x14ac:dyDescent="0.2">
      <c r="A398" s="5"/>
      <c r="C398" s="15"/>
      <c r="D398" s="15"/>
      <c r="E398" s="16"/>
      <c r="F398" s="15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spans="1:49" ht="12.75" x14ac:dyDescent="0.2">
      <c r="A399" s="5"/>
      <c r="C399" s="15"/>
      <c r="D399" s="15"/>
      <c r="E399" s="16"/>
      <c r="F399" s="15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spans="1:49" ht="12.75" x14ac:dyDescent="0.2">
      <c r="A400" s="5"/>
      <c r="C400" s="15"/>
      <c r="D400" s="15"/>
      <c r="E400" s="16"/>
      <c r="F400" s="15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spans="1:49" ht="12.75" x14ac:dyDescent="0.2">
      <c r="A401" s="5"/>
      <c r="C401" s="15"/>
      <c r="D401" s="15"/>
      <c r="E401" s="16"/>
      <c r="F401" s="15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spans="1:49" ht="12.75" x14ac:dyDescent="0.2">
      <c r="A402" s="5"/>
      <c r="C402" s="15"/>
      <c r="D402" s="15"/>
      <c r="E402" s="16"/>
      <c r="F402" s="15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spans="1:49" ht="12.75" x14ac:dyDescent="0.2">
      <c r="A403" s="5"/>
      <c r="C403" s="15"/>
      <c r="D403" s="15"/>
      <c r="E403" s="16"/>
      <c r="F403" s="15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spans="1:49" ht="12.75" x14ac:dyDescent="0.2">
      <c r="A404" s="5"/>
      <c r="C404" s="15"/>
      <c r="D404" s="15"/>
      <c r="E404" s="16"/>
      <c r="F404" s="15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spans="1:49" ht="12.75" x14ac:dyDescent="0.2">
      <c r="A405" s="5"/>
      <c r="C405" s="15"/>
      <c r="D405" s="15"/>
      <c r="E405" s="16"/>
      <c r="F405" s="15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spans="1:49" ht="12.75" x14ac:dyDescent="0.2">
      <c r="A406" s="5"/>
      <c r="C406" s="15"/>
      <c r="D406" s="15"/>
      <c r="E406" s="16"/>
      <c r="F406" s="15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spans="1:49" ht="12.75" x14ac:dyDescent="0.2">
      <c r="A407" s="5"/>
      <c r="C407" s="15"/>
      <c r="D407" s="15"/>
      <c r="E407" s="16"/>
      <c r="F407" s="15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spans="1:49" ht="12.75" x14ac:dyDescent="0.2">
      <c r="A408" s="5"/>
      <c r="C408" s="15"/>
      <c r="D408" s="15"/>
      <c r="E408" s="16"/>
      <c r="F408" s="15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spans="1:49" ht="12.75" x14ac:dyDescent="0.2">
      <c r="A409" s="5"/>
      <c r="C409" s="15"/>
      <c r="D409" s="15"/>
      <c r="E409" s="16"/>
      <c r="F409" s="15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spans="1:49" ht="12.75" x14ac:dyDescent="0.2">
      <c r="A410" s="5"/>
      <c r="C410" s="15"/>
      <c r="D410" s="15"/>
      <c r="E410" s="16"/>
      <c r="F410" s="15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ht="12.75" x14ac:dyDescent="0.2">
      <c r="A411" s="5"/>
      <c r="C411" s="15"/>
      <c r="D411" s="15"/>
      <c r="E411" s="16"/>
      <c r="F411" s="15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spans="1:49" ht="12.75" x14ac:dyDescent="0.2">
      <c r="A412" s="5"/>
      <c r="C412" s="15"/>
      <c r="D412" s="15"/>
      <c r="E412" s="16"/>
      <c r="F412" s="15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spans="1:49" ht="12.75" x14ac:dyDescent="0.2">
      <c r="A413" s="5"/>
      <c r="C413" s="15"/>
      <c r="D413" s="15"/>
      <c r="E413" s="16"/>
      <c r="F413" s="15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spans="1:49" ht="12.75" x14ac:dyDescent="0.2">
      <c r="A414" s="5"/>
      <c r="C414" s="15"/>
      <c r="D414" s="15"/>
      <c r="E414" s="16"/>
      <c r="F414" s="15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spans="1:49" ht="12.75" x14ac:dyDescent="0.2">
      <c r="A415" s="5"/>
      <c r="C415" s="15"/>
      <c r="D415" s="15"/>
      <c r="E415" s="16"/>
      <c r="F415" s="15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spans="1:49" ht="12.75" x14ac:dyDescent="0.2">
      <c r="A416" s="5"/>
      <c r="C416" s="15"/>
      <c r="D416" s="15"/>
      <c r="E416" s="16"/>
      <c r="F416" s="15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spans="1:49" ht="12.75" x14ac:dyDescent="0.2">
      <c r="A417" s="5"/>
      <c r="C417" s="15"/>
      <c r="D417" s="15"/>
      <c r="E417" s="16"/>
      <c r="F417" s="15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spans="1:49" ht="12.75" x14ac:dyDescent="0.2">
      <c r="A418" s="5"/>
      <c r="C418" s="15"/>
      <c r="D418" s="15"/>
      <c r="E418" s="16"/>
      <c r="F418" s="15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spans="1:49" ht="12.75" x14ac:dyDescent="0.2">
      <c r="A419" s="5"/>
      <c r="C419" s="15"/>
      <c r="D419" s="15"/>
      <c r="E419" s="16"/>
      <c r="F419" s="15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spans="1:49" ht="12.75" x14ac:dyDescent="0.2">
      <c r="A420" s="5"/>
      <c r="C420" s="15"/>
      <c r="D420" s="15"/>
      <c r="E420" s="16"/>
      <c r="F420" s="15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spans="1:49" ht="12.75" x14ac:dyDescent="0.2">
      <c r="A421" s="5"/>
      <c r="C421" s="15"/>
      <c r="D421" s="15"/>
      <c r="E421" s="16"/>
      <c r="F421" s="15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spans="1:49" ht="12.75" x14ac:dyDescent="0.2">
      <c r="A422" s="5"/>
      <c r="C422" s="15"/>
      <c r="D422" s="15"/>
      <c r="E422" s="16"/>
      <c r="F422" s="15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spans="1:49" ht="12.75" x14ac:dyDescent="0.2">
      <c r="A423" s="5"/>
      <c r="C423" s="15"/>
      <c r="D423" s="15"/>
      <c r="E423" s="16"/>
      <c r="F423" s="15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spans="1:49" ht="12.75" x14ac:dyDescent="0.2">
      <c r="A424" s="5"/>
      <c r="C424" s="15"/>
      <c r="D424" s="15"/>
      <c r="E424" s="16"/>
      <c r="F424" s="15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spans="1:49" ht="12.75" x14ac:dyDescent="0.2">
      <c r="A425" s="5"/>
      <c r="C425" s="15"/>
      <c r="D425" s="15"/>
      <c r="E425" s="16"/>
      <c r="F425" s="15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spans="1:49" ht="12.75" x14ac:dyDescent="0.2">
      <c r="A426" s="5"/>
      <c r="C426" s="15"/>
      <c r="D426" s="15"/>
      <c r="E426" s="16"/>
      <c r="F426" s="15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spans="1:49" ht="12.75" x14ac:dyDescent="0.2">
      <c r="A427" s="5"/>
      <c r="C427" s="15"/>
      <c r="D427" s="15"/>
      <c r="E427" s="16"/>
      <c r="F427" s="15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spans="1:49" ht="12.75" x14ac:dyDescent="0.2">
      <c r="A428" s="5"/>
      <c r="C428" s="15"/>
      <c r="D428" s="15"/>
      <c r="E428" s="16"/>
      <c r="F428" s="15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spans="1:49" ht="12.75" x14ac:dyDescent="0.2">
      <c r="A429" s="5"/>
      <c r="C429" s="15"/>
      <c r="D429" s="15"/>
      <c r="E429" s="16"/>
      <c r="F429" s="15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spans="1:49" ht="12.75" x14ac:dyDescent="0.2">
      <c r="A430" s="5"/>
      <c r="C430" s="15"/>
      <c r="D430" s="15"/>
      <c r="E430" s="16"/>
      <c r="F430" s="15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spans="1:49" ht="12.75" x14ac:dyDescent="0.2">
      <c r="A431" s="5"/>
      <c r="C431" s="15"/>
      <c r="D431" s="15"/>
      <c r="E431" s="16"/>
      <c r="F431" s="15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spans="1:49" ht="12.75" x14ac:dyDescent="0.2">
      <c r="A432" s="5"/>
      <c r="C432" s="15"/>
      <c r="D432" s="15"/>
      <c r="E432" s="16"/>
      <c r="F432" s="15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spans="1:49" ht="12.75" x14ac:dyDescent="0.2">
      <c r="A433" s="5"/>
      <c r="C433" s="15"/>
      <c r="D433" s="15"/>
      <c r="E433" s="16"/>
      <c r="F433" s="15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spans="1:49" ht="12.75" x14ac:dyDescent="0.2">
      <c r="A434" s="5"/>
      <c r="C434" s="15"/>
      <c r="D434" s="15"/>
      <c r="E434" s="16"/>
      <c r="F434" s="15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spans="1:49" ht="12.75" x14ac:dyDescent="0.2">
      <c r="A435" s="5"/>
      <c r="C435" s="15"/>
      <c r="D435" s="15"/>
      <c r="E435" s="16"/>
      <c r="F435" s="15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spans="1:49" ht="12.75" x14ac:dyDescent="0.2">
      <c r="A436" s="5"/>
      <c r="C436" s="15"/>
      <c r="D436" s="15"/>
      <c r="E436" s="16"/>
      <c r="F436" s="15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spans="1:49" ht="12.75" x14ac:dyDescent="0.2">
      <c r="A437" s="5"/>
      <c r="C437" s="15"/>
      <c r="D437" s="15"/>
      <c r="E437" s="16"/>
      <c r="F437" s="15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spans="1:49" ht="12.75" x14ac:dyDescent="0.2">
      <c r="A438" s="5"/>
      <c r="C438" s="15"/>
      <c r="D438" s="15"/>
      <c r="E438" s="16"/>
      <c r="F438" s="15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spans="1:49" ht="12.75" x14ac:dyDescent="0.2">
      <c r="A439" s="5"/>
      <c r="C439" s="15"/>
      <c r="D439" s="15"/>
      <c r="E439" s="16"/>
      <c r="F439" s="15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spans="1:49" ht="12.75" x14ac:dyDescent="0.2">
      <c r="A440" s="5"/>
      <c r="C440" s="15"/>
      <c r="D440" s="15"/>
      <c r="E440" s="16"/>
      <c r="F440" s="15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spans="1:49" ht="12.75" x14ac:dyDescent="0.2">
      <c r="A441" s="5"/>
      <c r="C441" s="15"/>
      <c r="D441" s="15"/>
      <c r="E441" s="16"/>
      <c r="F441" s="15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spans="1:49" ht="12.75" x14ac:dyDescent="0.2">
      <c r="A442" s="5"/>
      <c r="C442" s="15"/>
      <c r="D442" s="15"/>
      <c r="E442" s="16"/>
      <c r="F442" s="15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spans="1:49" ht="12.75" x14ac:dyDescent="0.2">
      <c r="A443" s="5"/>
      <c r="C443" s="15"/>
      <c r="D443" s="15"/>
      <c r="E443" s="16"/>
      <c r="F443" s="15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spans="1:49" ht="12.75" x14ac:dyDescent="0.2">
      <c r="A444" s="5"/>
      <c r="C444" s="15"/>
      <c r="D444" s="15"/>
      <c r="E444" s="16"/>
      <c r="F444" s="15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spans="1:49" ht="12.75" x14ac:dyDescent="0.2">
      <c r="A445" s="5"/>
      <c r="C445" s="15"/>
      <c r="D445" s="15"/>
      <c r="E445" s="16"/>
      <c r="F445" s="15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spans="1:49" ht="12.75" x14ac:dyDescent="0.2">
      <c r="A446" s="5"/>
      <c r="C446" s="15"/>
      <c r="D446" s="15"/>
      <c r="E446" s="16"/>
      <c r="F446" s="15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spans="1:49" ht="12.75" x14ac:dyDescent="0.2">
      <c r="A447" s="5"/>
      <c r="C447" s="15"/>
      <c r="D447" s="15"/>
      <c r="E447" s="16"/>
      <c r="F447" s="15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spans="1:49" ht="12.75" x14ac:dyDescent="0.2">
      <c r="A448" s="5"/>
      <c r="C448" s="15"/>
      <c r="D448" s="15"/>
      <c r="E448" s="16"/>
      <c r="F448" s="15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spans="1:49" ht="12.75" x14ac:dyDescent="0.2">
      <c r="A449" s="5"/>
      <c r="C449" s="15"/>
      <c r="D449" s="15"/>
      <c r="E449" s="16"/>
      <c r="F449" s="15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spans="1:49" ht="12.75" x14ac:dyDescent="0.2">
      <c r="A450" s="5"/>
      <c r="C450" s="15"/>
      <c r="D450" s="15"/>
      <c r="E450" s="16"/>
      <c r="F450" s="15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ht="12.75" x14ac:dyDescent="0.2">
      <c r="A451" s="5"/>
      <c r="C451" s="15"/>
      <c r="D451" s="15"/>
      <c r="E451" s="16"/>
      <c r="F451" s="15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spans="1:49" ht="12.75" x14ac:dyDescent="0.2">
      <c r="A452" s="5"/>
      <c r="C452" s="15"/>
      <c r="D452" s="15"/>
      <c r="E452" s="16"/>
      <c r="F452" s="15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spans="1:49" ht="12.75" x14ac:dyDescent="0.2">
      <c r="A453" s="5"/>
      <c r="C453" s="15"/>
      <c r="D453" s="15"/>
      <c r="E453" s="16"/>
      <c r="F453" s="15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spans="1:49" ht="12.75" x14ac:dyDescent="0.2">
      <c r="A454" s="5"/>
      <c r="C454" s="15"/>
      <c r="D454" s="15"/>
      <c r="E454" s="16"/>
      <c r="F454" s="15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spans="1:49" ht="12.75" x14ac:dyDescent="0.2">
      <c r="A455" s="5"/>
      <c r="C455" s="15"/>
      <c r="D455" s="15"/>
      <c r="E455" s="16"/>
      <c r="F455" s="15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spans="1:49" ht="12.75" x14ac:dyDescent="0.2">
      <c r="A456" s="5"/>
      <c r="C456" s="15"/>
      <c r="D456" s="15"/>
      <c r="E456" s="16"/>
      <c r="F456" s="15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spans="1:49" ht="12.75" x14ac:dyDescent="0.2">
      <c r="A457" s="5"/>
      <c r="C457" s="15"/>
      <c r="D457" s="15"/>
      <c r="E457" s="16"/>
      <c r="F457" s="15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spans="1:49" ht="12.75" x14ac:dyDescent="0.2">
      <c r="A458" s="5"/>
      <c r="C458" s="15"/>
      <c r="D458" s="15"/>
      <c r="E458" s="16"/>
      <c r="F458" s="15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spans="1:49" ht="12.75" x14ac:dyDescent="0.2">
      <c r="A459" s="5"/>
      <c r="C459" s="15"/>
      <c r="D459" s="15"/>
      <c r="E459" s="16"/>
      <c r="F459" s="15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spans="1:49" ht="12.75" x14ac:dyDescent="0.2">
      <c r="A460" s="5"/>
      <c r="C460" s="15"/>
      <c r="D460" s="15"/>
      <c r="E460" s="16"/>
      <c r="F460" s="15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spans="1:49" ht="12.75" x14ac:dyDescent="0.2">
      <c r="A461" s="5"/>
      <c r="C461" s="15"/>
      <c r="D461" s="15"/>
      <c r="E461" s="16"/>
      <c r="F461" s="15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spans="1:49" ht="12.75" x14ac:dyDescent="0.2">
      <c r="A462" s="5"/>
      <c r="C462" s="15"/>
      <c r="D462" s="15"/>
      <c r="E462" s="16"/>
      <c r="F462" s="15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spans="1:49" ht="12.75" x14ac:dyDescent="0.2">
      <c r="A463" s="5"/>
      <c r="C463" s="15"/>
      <c r="D463" s="15"/>
      <c r="E463" s="16"/>
      <c r="F463" s="15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spans="1:49" ht="12.75" x14ac:dyDescent="0.2">
      <c r="A464" s="5"/>
      <c r="C464" s="15"/>
      <c r="D464" s="15"/>
      <c r="E464" s="16"/>
      <c r="F464" s="15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spans="1:49" ht="12.75" x14ac:dyDescent="0.2">
      <c r="A465" s="5"/>
      <c r="C465" s="15"/>
      <c r="D465" s="15"/>
      <c r="E465" s="16"/>
      <c r="F465" s="15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spans="1:49" ht="12.75" x14ac:dyDescent="0.2">
      <c r="A466" s="5"/>
      <c r="C466" s="15"/>
      <c r="D466" s="15"/>
      <c r="E466" s="16"/>
      <c r="F466" s="15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spans="1:49" ht="12.75" x14ac:dyDescent="0.2">
      <c r="A467" s="5"/>
      <c r="C467" s="15"/>
      <c r="D467" s="15"/>
      <c r="E467" s="16"/>
      <c r="F467" s="15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spans="1:49" ht="12.75" x14ac:dyDescent="0.2">
      <c r="A468" s="5"/>
      <c r="C468" s="15"/>
      <c r="D468" s="15"/>
      <c r="E468" s="16"/>
      <c r="F468" s="15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spans="1:49" ht="12.75" x14ac:dyDescent="0.2">
      <c r="A469" s="5"/>
      <c r="C469" s="15"/>
      <c r="D469" s="15"/>
      <c r="E469" s="16"/>
      <c r="F469" s="15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spans="1:49" ht="12.75" x14ac:dyDescent="0.2">
      <c r="A470" s="5"/>
      <c r="C470" s="15"/>
      <c r="D470" s="15"/>
      <c r="E470" s="16"/>
      <c r="F470" s="15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spans="1:49" ht="12.75" x14ac:dyDescent="0.2">
      <c r="A471" s="5"/>
      <c r="C471" s="15"/>
      <c r="D471" s="15"/>
      <c r="E471" s="16"/>
      <c r="F471" s="15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spans="1:49" ht="12.75" x14ac:dyDescent="0.2">
      <c r="A472" s="5"/>
      <c r="C472" s="15"/>
      <c r="D472" s="15"/>
      <c r="E472" s="16"/>
      <c r="F472" s="15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spans="1:49" ht="12.75" x14ac:dyDescent="0.2">
      <c r="A473" s="5"/>
      <c r="C473" s="15"/>
      <c r="D473" s="15"/>
      <c r="E473" s="16"/>
      <c r="F473" s="15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spans="1:49" ht="12.75" x14ac:dyDescent="0.2">
      <c r="A474" s="5"/>
      <c r="C474" s="15"/>
      <c r="D474" s="15"/>
      <c r="E474" s="16"/>
      <c r="F474" s="15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spans="1:49" ht="12.75" x14ac:dyDescent="0.2">
      <c r="A475" s="5"/>
      <c r="C475" s="15"/>
      <c r="D475" s="15"/>
      <c r="E475" s="16"/>
      <c r="F475" s="15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spans="1:49" ht="12.75" x14ac:dyDescent="0.2">
      <c r="A476" s="5"/>
      <c r="C476" s="15"/>
      <c r="D476" s="15"/>
      <c r="E476" s="16"/>
      <c r="F476" s="15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spans="1:49" ht="12.75" x14ac:dyDescent="0.2">
      <c r="A477" s="5"/>
      <c r="C477" s="15"/>
      <c r="D477" s="15"/>
      <c r="E477" s="16"/>
      <c r="F477" s="15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spans="1:49" ht="12.75" x14ac:dyDescent="0.2">
      <c r="A478" s="5"/>
      <c r="C478" s="15"/>
      <c r="D478" s="15"/>
      <c r="E478" s="16"/>
      <c r="F478" s="15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spans="1:49" ht="12.75" x14ac:dyDescent="0.2">
      <c r="A479" s="5"/>
      <c r="C479" s="15"/>
      <c r="D479" s="15"/>
      <c r="E479" s="16"/>
      <c r="F479" s="15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spans="1:49" ht="12.75" x14ac:dyDescent="0.2">
      <c r="A480" s="5"/>
      <c r="C480" s="15"/>
      <c r="D480" s="15"/>
      <c r="E480" s="16"/>
      <c r="F480" s="15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spans="1:49" ht="12.75" x14ac:dyDescent="0.2">
      <c r="A481" s="5"/>
      <c r="C481" s="15"/>
      <c r="D481" s="15"/>
      <c r="E481" s="16"/>
      <c r="F481" s="15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spans="1:49" ht="12.75" x14ac:dyDescent="0.2">
      <c r="A482" s="5"/>
      <c r="C482" s="15"/>
      <c r="D482" s="15"/>
      <c r="E482" s="16"/>
      <c r="F482" s="15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spans="1:49" ht="12.75" x14ac:dyDescent="0.2">
      <c r="A483" s="5"/>
      <c r="C483" s="15"/>
      <c r="D483" s="15"/>
      <c r="E483" s="16"/>
      <c r="F483" s="15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spans="1:49" ht="12.75" x14ac:dyDescent="0.2">
      <c r="A484" s="5"/>
      <c r="C484" s="15"/>
      <c r="D484" s="15"/>
      <c r="E484" s="16"/>
      <c r="F484" s="15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spans="1:49" ht="12.75" x14ac:dyDescent="0.2">
      <c r="A485" s="5"/>
      <c r="C485" s="15"/>
      <c r="D485" s="15"/>
      <c r="E485" s="16"/>
      <c r="F485" s="15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spans="1:49" ht="12.75" x14ac:dyDescent="0.2">
      <c r="A486" s="5"/>
      <c r="C486" s="15"/>
      <c r="D486" s="15"/>
      <c r="E486" s="16"/>
      <c r="F486" s="15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spans="1:49" ht="12.75" x14ac:dyDescent="0.2">
      <c r="A487" s="5"/>
      <c r="C487" s="15"/>
      <c r="D487" s="15"/>
      <c r="E487" s="16"/>
      <c r="F487" s="15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spans="1:49" ht="12.75" x14ac:dyDescent="0.2">
      <c r="A488" s="5"/>
      <c r="C488" s="15"/>
      <c r="D488" s="15"/>
      <c r="E488" s="16"/>
      <c r="F488" s="15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spans="1:49" ht="12.75" x14ac:dyDescent="0.2">
      <c r="A489" s="5"/>
      <c r="C489" s="15"/>
      <c r="D489" s="15"/>
      <c r="E489" s="16"/>
      <c r="F489" s="15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spans="1:49" ht="12.75" x14ac:dyDescent="0.2">
      <c r="A490" s="5"/>
      <c r="C490" s="15"/>
      <c r="D490" s="15"/>
      <c r="E490" s="16"/>
      <c r="F490" s="15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spans="1:49" ht="12.75" x14ac:dyDescent="0.2">
      <c r="A491" s="5"/>
      <c r="C491" s="15"/>
      <c r="D491" s="15"/>
      <c r="E491" s="16"/>
      <c r="F491" s="15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spans="1:49" ht="12.75" x14ac:dyDescent="0.2">
      <c r="A492" s="5"/>
      <c r="C492" s="15"/>
      <c r="D492" s="15"/>
      <c r="E492" s="16"/>
      <c r="F492" s="15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spans="1:49" ht="12.75" x14ac:dyDescent="0.2">
      <c r="A493" s="5"/>
      <c r="C493" s="15"/>
      <c r="D493" s="15"/>
      <c r="E493" s="16"/>
      <c r="F493" s="15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spans="1:49" ht="12.75" x14ac:dyDescent="0.2">
      <c r="A494" s="5"/>
      <c r="C494" s="15"/>
      <c r="D494" s="15"/>
      <c r="E494" s="16"/>
      <c r="F494" s="15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  <row r="495" spans="1:49" ht="12.75" x14ac:dyDescent="0.2">
      <c r="A495" s="5"/>
      <c r="C495" s="15"/>
      <c r="D495" s="15"/>
      <c r="E495" s="16"/>
      <c r="F495" s="15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</row>
    <row r="496" spans="1:49" ht="12.75" x14ac:dyDescent="0.2">
      <c r="A496" s="5"/>
      <c r="C496" s="15"/>
      <c r="D496" s="15"/>
      <c r="E496" s="16"/>
      <c r="F496" s="15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</row>
    <row r="497" spans="1:49" ht="12.75" x14ac:dyDescent="0.2">
      <c r="A497" s="5"/>
      <c r="C497" s="15"/>
      <c r="D497" s="15"/>
      <c r="E497" s="16"/>
      <c r="F497" s="15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</row>
    <row r="498" spans="1:49" ht="12.75" x14ac:dyDescent="0.2">
      <c r="A498" s="5"/>
      <c r="C498" s="15"/>
      <c r="D498" s="15"/>
      <c r="E498" s="16"/>
      <c r="F498" s="15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</row>
    <row r="499" spans="1:49" ht="12.75" x14ac:dyDescent="0.2">
      <c r="A499" s="5"/>
      <c r="C499" s="15"/>
      <c r="D499" s="15"/>
      <c r="E499" s="16"/>
      <c r="F499" s="15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</row>
    <row r="500" spans="1:49" ht="12.75" x14ac:dyDescent="0.2">
      <c r="A500" s="5"/>
      <c r="C500" s="15"/>
      <c r="D500" s="15"/>
      <c r="E500" s="16"/>
      <c r="F500" s="15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</row>
    <row r="501" spans="1:49" ht="12.75" x14ac:dyDescent="0.2">
      <c r="A501" s="5"/>
      <c r="C501" s="15"/>
      <c r="D501" s="15"/>
      <c r="E501" s="16"/>
      <c r="F501" s="15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</row>
    <row r="502" spans="1:49" ht="12.75" x14ac:dyDescent="0.2">
      <c r="A502" s="5"/>
      <c r="C502" s="15"/>
      <c r="D502" s="15"/>
      <c r="E502" s="16"/>
      <c r="F502" s="15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</row>
    <row r="503" spans="1:49" ht="12.75" x14ac:dyDescent="0.2">
      <c r="A503" s="5"/>
      <c r="C503" s="15"/>
      <c r="D503" s="15"/>
      <c r="E503" s="16"/>
      <c r="F503" s="15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</row>
    <row r="504" spans="1:49" ht="12.75" x14ac:dyDescent="0.2">
      <c r="A504" s="5"/>
      <c r="C504" s="15"/>
      <c r="D504" s="15"/>
      <c r="E504" s="16"/>
      <c r="F504" s="15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</row>
    <row r="505" spans="1:49" ht="12.75" x14ac:dyDescent="0.2">
      <c r="A505" s="5"/>
      <c r="C505" s="15"/>
      <c r="D505" s="15"/>
      <c r="E505" s="16"/>
      <c r="F505" s="15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</row>
    <row r="506" spans="1:49" ht="12.75" x14ac:dyDescent="0.2">
      <c r="A506" s="5"/>
      <c r="C506" s="15"/>
      <c r="D506" s="15"/>
      <c r="E506" s="16"/>
      <c r="F506" s="15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</row>
    <row r="507" spans="1:49" ht="12.75" x14ac:dyDescent="0.2">
      <c r="A507" s="5"/>
      <c r="C507" s="15"/>
      <c r="D507" s="15"/>
      <c r="E507" s="16"/>
      <c r="F507" s="15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</row>
    <row r="508" spans="1:49" ht="12.75" x14ac:dyDescent="0.2">
      <c r="A508" s="5"/>
      <c r="C508" s="15"/>
      <c r="D508" s="15"/>
      <c r="E508" s="16"/>
      <c r="F508" s="15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</row>
    <row r="509" spans="1:49" ht="12.75" x14ac:dyDescent="0.2">
      <c r="A509" s="5"/>
      <c r="C509" s="15"/>
      <c r="D509" s="15"/>
      <c r="E509" s="16"/>
      <c r="F509" s="15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</row>
    <row r="510" spans="1:49" ht="12.75" x14ac:dyDescent="0.2">
      <c r="A510" s="5"/>
      <c r="C510" s="15"/>
      <c r="D510" s="15"/>
      <c r="E510" s="16"/>
      <c r="F510" s="15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</row>
    <row r="511" spans="1:49" ht="12.75" x14ac:dyDescent="0.2">
      <c r="A511" s="5"/>
      <c r="C511" s="15"/>
      <c r="D511" s="15"/>
      <c r="E511" s="16"/>
      <c r="F511" s="15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</row>
    <row r="512" spans="1:49" ht="12.75" x14ac:dyDescent="0.2">
      <c r="A512" s="5"/>
      <c r="C512" s="15"/>
      <c r="D512" s="15"/>
      <c r="E512" s="16"/>
      <c r="F512" s="15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</row>
    <row r="513" spans="1:49" ht="12.75" x14ac:dyDescent="0.2">
      <c r="A513" s="5"/>
      <c r="C513" s="15"/>
      <c r="D513" s="15"/>
      <c r="E513" s="16"/>
      <c r="F513" s="15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</row>
    <row r="514" spans="1:49" ht="12.75" x14ac:dyDescent="0.2">
      <c r="A514" s="5"/>
      <c r="C514" s="15"/>
      <c r="D514" s="15"/>
      <c r="E514" s="16"/>
      <c r="F514" s="15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</row>
    <row r="515" spans="1:49" ht="12.75" x14ac:dyDescent="0.2">
      <c r="A515" s="5"/>
      <c r="C515" s="15"/>
      <c r="D515" s="15"/>
      <c r="E515" s="16"/>
      <c r="F515" s="15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</row>
    <row r="516" spans="1:49" ht="12.75" x14ac:dyDescent="0.2">
      <c r="A516" s="5"/>
      <c r="C516" s="15"/>
      <c r="D516" s="15"/>
      <c r="E516" s="16"/>
      <c r="F516" s="15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</row>
    <row r="517" spans="1:49" ht="12.75" x14ac:dyDescent="0.2">
      <c r="A517" s="5"/>
      <c r="C517" s="15"/>
      <c r="D517" s="15"/>
      <c r="E517" s="16"/>
      <c r="F517" s="15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</row>
    <row r="518" spans="1:49" ht="12.75" x14ac:dyDescent="0.2">
      <c r="A518" s="5"/>
      <c r="C518" s="15"/>
      <c r="D518" s="15"/>
      <c r="E518" s="16"/>
      <c r="F518" s="15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</row>
    <row r="519" spans="1:49" ht="12.75" x14ac:dyDescent="0.2">
      <c r="A519" s="5"/>
      <c r="C519" s="15"/>
      <c r="D519" s="15"/>
      <c r="E519" s="16"/>
      <c r="F519" s="15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</row>
    <row r="520" spans="1:49" ht="12.75" x14ac:dyDescent="0.2">
      <c r="A520" s="5"/>
      <c r="C520" s="15"/>
      <c r="D520" s="15"/>
      <c r="E520" s="16"/>
      <c r="F520" s="15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</row>
    <row r="521" spans="1:49" ht="12.75" x14ac:dyDescent="0.2">
      <c r="A521" s="5"/>
      <c r="C521" s="15"/>
      <c r="D521" s="15"/>
      <c r="E521" s="16"/>
      <c r="F521" s="15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</row>
    <row r="522" spans="1:49" ht="12.75" x14ac:dyDescent="0.2">
      <c r="A522" s="5"/>
      <c r="C522" s="15"/>
      <c r="D522" s="15"/>
      <c r="E522" s="16"/>
      <c r="F522" s="15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</row>
    <row r="523" spans="1:49" ht="12.75" x14ac:dyDescent="0.2">
      <c r="A523" s="5"/>
      <c r="C523" s="15"/>
      <c r="D523" s="15"/>
      <c r="E523" s="16"/>
      <c r="F523" s="15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</row>
    <row r="524" spans="1:49" ht="12.75" x14ac:dyDescent="0.2">
      <c r="A524" s="5"/>
      <c r="C524" s="15"/>
      <c r="D524" s="15"/>
      <c r="E524" s="16"/>
      <c r="F524" s="15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</row>
    <row r="525" spans="1:49" ht="12.75" x14ac:dyDescent="0.2">
      <c r="A525" s="5"/>
      <c r="C525" s="15"/>
      <c r="D525" s="15"/>
      <c r="E525" s="16"/>
      <c r="F525" s="15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</row>
    <row r="526" spans="1:49" ht="12.75" x14ac:dyDescent="0.2">
      <c r="A526" s="5"/>
      <c r="C526" s="15"/>
      <c r="D526" s="15"/>
      <c r="E526" s="16"/>
      <c r="F526" s="15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</row>
    <row r="527" spans="1:49" ht="12.75" x14ac:dyDescent="0.2">
      <c r="A527" s="5"/>
      <c r="C527" s="15"/>
      <c r="D527" s="15"/>
      <c r="E527" s="16"/>
      <c r="F527" s="15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</row>
    <row r="528" spans="1:49" ht="12.75" x14ac:dyDescent="0.2">
      <c r="A528" s="5"/>
      <c r="C528" s="15"/>
      <c r="D528" s="15"/>
      <c r="E528" s="16"/>
      <c r="F528" s="15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</row>
    <row r="529" spans="1:49" ht="12.75" x14ac:dyDescent="0.2">
      <c r="A529" s="5"/>
      <c r="C529" s="15"/>
      <c r="D529" s="15"/>
      <c r="E529" s="16"/>
      <c r="F529" s="15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</row>
    <row r="530" spans="1:49" ht="12.75" x14ac:dyDescent="0.2">
      <c r="A530" s="5"/>
      <c r="C530" s="15"/>
      <c r="D530" s="15"/>
      <c r="E530" s="16"/>
      <c r="F530" s="15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</row>
    <row r="531" spans="1:49" ht="12.75" x14ac:dyDescent="0.2">
      <c r="A531" s="5"/>
      <c r="C531" s="15"/>
      <c r="D531" s="15"/>
      <c r="E531" s="16"/>
      <c r="F531" s="15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</row>
    <row r="532" spans="1:49" ht="12.75" x14ac:dyDescent="0.2">
      <c r="A532" s="5"/>
      <c r="C532" s="15"/>
      <c r="D532" s="15"/>
      <c r="E532" s="16"/>
      <c r="F532" s="15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</row>
    <row r="533" spans="1:49" ht="12.75" x14ac:dyDescent="0.2">
      <c r="A533" s="5"/>
      <c r="C533" s="15"/>
      <c r="D533" s="15"/>
      <c r="E533" s="16"/>
      <c r="F533" s="15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</row>
    <row r="534" spans="1:49" ht="12.75" x14ac:dyDescent="0.2">
      <c r="A534" s="5"/>
      <c r="C534" s="15"/>
      <c r="D534" s="15"/>
      <c r="E534" s="16"/>
      <c r="F534" s="15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</row>
    <row r="535" spans="1:49" ht="12.75" x14ac:dyDescent="0.2">
      <c r="A535" s="5"/>
      <c r="C535" s="15"/>
      <c r="D535" s="15"/>
      <c r="E535" s="16"/>
      <c r="F535" s="15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</row>
    <row r="536" spans="1:49" ht="12.75" x14ac:dyDescent="0.2">
      <c r="A536" s="5"/>
      <c r="C536" s="15"/>
      <c r="D536" s="15"/>
      <c r="E536" s="16"/>
      <c r="F536" s="15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</row>
    <row r="537" spans="1:49" ht="12.75" x14ac:dyDescent="0.2">
      <c r="A537" s="5"/>
      <c r="C537" s="15"/>
      <c r="D537" s="15"/>
      <c r="E537" s="16"/>
      <c r="F537" s="15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</row>
    <row r="538" spans="1:49" ht="12.75" x14ac:dyDescent="0.2">
      <c r="A538" s="5"/>
      <c r="C538" s="15"/>
      <c r="D538" s="15"/>
      <c r="E538" s="16"/>
      <c r="F538" s="15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</row>
    <row r="539" spans="1:49" ht="12.75" x14ac:dyDescent="0.2">
      <c r="A539" s="5"/>
      <c r="C539" s="15"/>
      <c r="D539" s="15"/>
      <c r="E539" s="16"/>
      <c r="F539" s="15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</row>
    <row r="540" spans="1:49" ht="12.75" x14ac:dyDescent="0.2">
      <c r="A540" s="5"/>
      <c r="C540" s="15"/>
      <c r="D540" s="15"/>
      <c r="E540" s="16"/>
      <c r="F540" s="15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</row>
    <row r="541" spans="1:49" ht="12.75" x14ac:dyDescent="0.2">
      <c r="A541" s="5"/>
      <c r="C541" s="15"/>
      <c r="D541" s="15"/>
      <c r="E541" s="16"/>
      <c r="F541" s="15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</row>
    <row r="542" spans="1:49" ht="12.75" x14ac:dyDescent="0.2">
      <c r="A542" s="5"/>
      <c r="C542" s="15"/>
      <c r="D542" s="15"/>
      <c r="E542" s="16"/>
      <c r="F542" s="15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</row>
    <row r="543" spans="1:49" ht="12.75" x14ac:dyDescent="0.2">
      <c r="A543" s="5"/>
      <c r="C543" s="15"/>
      <c r="D543" s="15"/>
      <c r="E543" s="16"/>
      <c r="F543" s="15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</row>
    <row r="544" spans="1:49" ht="12.75" x14ac:dyDescent="0.2">
      <c r="A544" s="5"/>
      <c r="C544" s="15"/>
      <c r="D544" s="15"/>
      <c r="E544" s="16"/>
      <c r="F544" s="15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</row>
    <row r="545" spans="1:49" ht="12.75" x14ac:dyDescent="0.2">
      <c r="A545" s="5"/>
      <c r="C545" s="15"/>
      <c r="D545" s="15"/>
      <c r="E545" s="16"/>
      <c r="F545" s="15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</row>
    <row r="546" spans="1:49" ht="12.75" x14ac:dyDescent="0.2">
      <c r="A546" s="5"/>
      <c r="C546" s="15"/>
      <c r="D546" s="15"/>
      <c r="E546" s="16"/>
      <c r="F546" s="15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</row>
    <row r="547" spans="1:49" ht="12.75" x14ac:dyDescent="0.2">
      <c r="A547" s="5"/>
      <c r="C547" s="15"/>
      <c r="D547" s="15"/>
      <c r="E547" s="16"/>
      <c r="F547" s="15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</row>
    <row r="548" spans="1:49" ht="12.75" x14ac:dyDescent="0.2">
      <c r="A548" s="5"/>
      <c r="C548" s="15"/>
      <c r="D548" s="15"/>
      <c r="E548" s="16"/>
      <c r="F548" s="15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</row>
    <row r="549" spans="1:49" ht="12.75" x14ac:dyDescent="0.2">
      <c r="A549" s="5"/>
      <c r="C549" s="15"/>
      <c r="D549" s="15"/>
      <c r="E549" s="16"/>
      <c r="F549" s="15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</row>
    <row r="550" spans="1:49" ht="12.75" x14ac:dyDescent="0.2">
      <c r="A550" s="5"/>
      <c r="C550" s="15"/>
      <c r="D550" s="15"/>
      <c r="E550" s="16"/>
      <c r="F550" s="15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</row>
    <row r="551" spans="1:49" ht="12.75" x14ac:dyDescent="0.2">
      <c r="A551" s="5"/>
      <c r="C551" s="15"/>
      <c r="D551" s="15"/>
      <c r="E551" s="16"/>
      <c r="F551" s="15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</row>
    <row r="552" spans="1:49" ht="12.75" x14ac:dyDescent="0.2">
      <c r="A552" s="5"/>
      <c r="C552" s="15"/>
      <c r="D552" s="15"/>
      <c r="E552" s="16"/>
      <c r="F552" s="15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</row>
    <row r="553" spans="1:49" ht="12.75" x14ac:dyDescent="0.2">
      <c r="A553" s="5"/>
      <c r="C553" s="15"/>
      <c r="D553" s="15"/>
      <c r="E553" s="16"/>
      <c r="F553" s="15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</row>
    <row r="554" spans="1:49" ht="12.75" x14ac:dyDescent="0.2">
      <c r="A554" s="5"/>
      <c r="C554" s="15"/>
      <c r="D554" s="15"/>
      <c r="E554" s="16"/>
      <c r="F554" s="15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</row>
    <row r="555" spans="1:49" ht="12.75" x14ac:dyDescent="0.2">
      <c r="A555" s="5"/>
      <c r="C555" s="15"/>
      <c r="D555" s="15"/>
      <c r="E555" s="16"/>
      <c r="F555" s="15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</row>
    <row r="556" spans="1:49" ht="12.75" x14ac:dyDescent="0.2">
      <c r="A556" s="5"/>
      <c r="C556" s="15"/>
      <c r="D556" s="15"/>
      <c r="E556" s="16"/>
      <c r="F556" s="15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</row>
    <row r="557" spans="1:49" ht="12.75" x14ac:dyDescent="0.2">
      <c r="A557" s="5"/>
      <c r="C557" s="15"/>
      <c r="D557" s="15"/>
      <c r="E557" s="16"/>
      <c r="F557" s="15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</row>
    <row r="558" spans="1:49" ht="12.75" x14ac:dyDescent="0.2">
      <c r="A558" s="5"/>
      <c r="C558" s="15"/>
      <c r="D558" s="15"/>
      <c r="E558" s="16"/>
      <c r="F558" s="15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</row>
    <row r="559" spans="1:49" ht="12.75" x14ac:dyDescent="0.2">
      <c r="A559" s="5"/>
      <c r="C559" s="15"/>
      <c r="D559" s="15"/>
      <c r="E559" s="16"/>
      <c r="F559" s="15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</row>
    <row r="560" spans="1:49" ht="12.75" x14ac:dyDescent="0.2">
      <c r="A560" s="5"/>
      <c r="C560" s="15"/>
      <c r="D560" s="15"/>
      <c r="E560" s="16"/>
      <c r="F560" s="15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</row>
    <row r="561" spans="1:49" ht="12.75" x14ac:dyDescent="0.2">
      <c r="A561" s="5"/>
      <c r="C561" s="15"/>
      <c r="D561" s="15"/>
      <c r="E561" s="16"/>
      <c r="F561" s="15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</row>
    <row r="562" spans="1:49" ht="12.75" x14ac:dyDescent="0.2">
      <c r="A562" s="5"/>
      <c r="C562" s="15"/>
      <c r="D562" s="15"/>
      <c r="E562" s="16"/>
      <c r="F562" s="15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</row>
    <row r="563" spans="1:49" ht="12.75" x14ac:dyDescent="0.2">
      <c r="A563" s="5"/>
      <c r="C563" s="15"/>
      <c r="D563" s="15"/>
      <c r="E563" s="16"/>
      <c r="F563" s="15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</row>
    <row r="564" spans="1:49" ht="12.75" x14ac:dyDescent="0.2">
      <c r="A564" s="5"/>
      <c r="C564" s="15"/>
      <c r="D564" s="15"/>
      <c r="E564" s="16"/>
      <c r="F564" s="15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</row>
    <row r="565" spans="1:49" ht="12.75" x14ac:dyDescent="0.2">
      <c r="A565" s="5"/>
      <c r="C565" s="15"/>
      <c r="D565" s="15"/>
      <c r="E565" s="16"/>
      <c r="F565" s="15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</row>
    <row r="566" spans="1:49" ht="12.75" x14ac:dyDescent="0.2">
      <c r="A566" s="5"/>
      <c r="C566" s="15"/>
      <c r="D566" s="15"/>
      <c r="E566" s="16"/>
      <c r="F566" s="15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</row>
    <row r="567" spans="1:49" ht="12.75" x14ac:dyDescent="0.2">
      <c r="A567" s="5"/>
      <c r="C567" s="15"/>
      <c r="D567" s="15"/>
      <c r="E567" s="16"/>
      <c r="F567" s="15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</row>
    <row r="568" spans="1:49" ht="12.75" x14ac:dyDescent="0.2">
      <c r="A568" s="5"/>
      <c r="C568" s="15"/>
      <c r="D568" s="15"/>
      <c r="E568" s="16"/>
      <c r="F568" s="15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</row>
    <row r="569" spans="1:49" ht="12.75" x14ac:dyDescent="0.2">
      <c r="A569" s="5"/>
      <c r="C569" s="15"/>
      <c r="D569" s="15"/>
      <c r="E569" s="16"/>
      <c r="F569" s="15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</row>
    <row r="570" spans="1:49" ht="12.75" x14ac:dyDescent="0.2">
      <c r="A570" s="5"/>
      <c r="C570" s="15"/>
      <c r="D570" s="15"/>
      <c r="E570" s="16"/>
      <c r="F570" s="15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</row>
    <row r="571" spans="1:49" ht="12.75" x14ac:dyDescent="0.2">
      <c r="A571" s="5"/>
      <c r="C571" s="15"/>
      <c r="D571" s="15"/>
      <c r="E571" s="16"/>
      <c r="F571" s="15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</row>
    <row r="572" spans="1:49" ht="12.75" x14ac:dyDescent="0.2">
      <c r="A572" s="5"/>
      <c r="C572" s="15"/>
      <c r="D572" s="15"/>
      <c r="E572" s="16"/>
      <c r="F572" s="15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</row>
    <row r="573" spans="1:49" ht="12.75" x14ac:dyDescent="0.2">
      <c r="A573" s="5"/>
      <c r="C573" s="15"/>
      <c r="D573" s="15"/>
      <c r="E573" s="16"/>
      <c r="F573" s="15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</row>
    <row r="574" spans="1:49" ht="12.75" x14ac:dyDescent="0.2">
      <c r="A574" s="5"/>
      <c r="C574" s="15"/>
      <c r="D574" s="15"/>
      <c r="E574" s="16"/>
      <c r="F574" s="15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</row>
    <row r="575" spans="1:49" ht="12.75" x14ac:dyDescent="0.2">
      <c r="A575" s="5"/>
      <c r="C575" s="15"/>
      <c r="D575" s="15"/>
      <c r="E575" s="16"/>
      <c r="F575" s="15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</row>
    <row r="576" spans="1:49" ht="12.75" x14ac:dyDescent="0.2">
      <c r="A576" s="5"/>
      <c r="C576" s="15"/>
      <c r="D576" s="15"/>
      <c r="E576" s="16"/>
      <c r="F576" s="15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</row>
    <row r="577" spans="1:49" ht="12.75" x14ac:dyDescent="0.2">
      <c r="A577" s="5"/>
      <c r="C577" s="15"/>
      <c r="D577" s="15"/>
      <c r="E577" s="16"/>
      <c r="F577" s="15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</row>
    <row r="578" spans="1:49" ht="12.75" x14ac:dyDescent="0.2">
      <c r="A578" s="5"/>
      <c r="C578" s="15"/>
      <c r="D578" s="15"/>
      <c r="E578" s="16"/>
      <c r="F578" s="15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</row>
    <row r="579" spans="1:49" ht="12.75" x14ac:dyDescent="0.2">
      <c r="A579" s="5"/>
      <c r="C579" s="15"/>
      <c r="D579" s="15"/>
      <c r="E579" s="16"/>
      <c r="F579" s="15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</row>
    <row r="580" spans="1:49" ht="12.75" x14ac:dyDescent="0.2">
      <c r="A580" s="5"/>
      <c r="C580" s="15"/>
      <c r="D580" s="15"/>
      <c r="E580" s="16"/>
      <c r="F580" s="15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</row>
    <row r="581" spans="1:49" ht="12.75" x14ac:dyDescent="0.2">
      <c r="A581" s="5"/>
      <c r="C581" s="15"/>
      <c r="D581" s="15"/>
      <c r="E581" s="16"/>
      <c r="F581" s="15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</row>
    <row r="582" spans="1:49" ht="12.75" x14ac:dyDescent="0.2">
      <c r="A582" s="5"/>
      <c r="C582" s="15"/>
      <c r="D582" s="15"/>
      <c r="E582" s="16"/>
      <c r="F582" s="15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</row>
    <row r="583" spans="1:49" ht="12.75" x14ac:dyDescent="0.2">
      <c r="A583" s="5"/>
      <c r="C583" s="15"/>
      <c r="D583" s="15"/>
      <c r="E583" s="16"/>
      <c r="F583" s="15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</row>
    <row r="584" spans="1:49" ht="12.75" x14ac:dyDescent="0.2">
      <c r="A584" s="5"/>
      <c r="C584" s="15"/>
      <c r="D584" s="15"/>
      <c r="E584" s="16"/>
      <c r="F584" s="15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</row>
    <row r="585" spans="1:49" ht="12.75" x14ac:dyDescent="0.2">
      <c r="A585" s="5"/>
      <c r="C585" s="15"/>
      <c r="D585" s="15"/>
      <c r="E585" s="16"/>
      <c r="F585" s="15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</row>
    <row r="586" spans="1:49" ht="12.75" x14ac:dyDescent="0.2">
      <c r="A586" s="5"/>
      <c r="C586" s="15"/>
      <c r="D586" s="15"/>
      <c r="E586" s="16"/>
      <c r="F586" s="15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</row>
    <row r="587" spans="1:49" ht="12.75" x14ac:dyDescent="0.2">
      <c r="A587" s="5"/>
      <c r="C587" s="15"/>
      <c r="D587" s="15"/>
      <c r="E587" s="16"/>
      <c r="F587" s="15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</row>
    <row r="588" spans="1:49" ht="12.75" x14ac:dyDescent="0.2">
      <c r="A588" s="5"/>
      <c r="C588" s="15"/>
      <c r="D588" s="15"/>
      <c r="E588" s="16"/>
      <c r="F588" s="15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</row>
    <row r="589" spans="1:49" ht="12.75" x14ac:dyDescent="0.2">
      <c r="A589" s="5"/>
      <c r="C589" s="15"/>
      <c r="D589" s="15"/>
      <c r="E589" s="16"/>
      <c r="F589" s="15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</row>
    <row r="590" spans="1:49" ht="12.75" x14ac:dyDescent="0.2">
      <c r="A590" s="5"/>
      <c r="C590" s="15"/>
      <c r="D590" s="15"/>
      <c r="E590" s="16"/>
      <c r="F590" s="15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</row>
    <row r="591" spans="1:49" ht="12.75" x14ac:dyDescent="0.2">
      <c r="A591" s="5"/>
      <c r="C591" s="15"/>
      <c r="D591" s="15"/>
      <c r="E591" s="16"/>
      <c r="F591" s="15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</row>
    <row r="592" spans="1:49" ht="12.75" x14ac:dyDescent="0.2">
      <c r="A592" s="5"/>
      <c r="C592" s="15"/>
      <c r="D592" s="15"/>
      <c r="E592" s="16"/>
      <c r="F592" s="15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</row>
    <row r="593" spans="1:49" ht="12.75" x14ac:dyDescent="0.2">
      <c r="A593" s="5"/>
      <c r="C593" s="15"/>
      <c r="D593" s="15"/>
      <c r="E593" s="16"/>
      <c r="F593" s="15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</row>
    <row r="594" spans="1:49" ht="12.75" x14ac:dyDescent="0.2">
      <c r="A594" s="5"/>
      <c r="C594" s="15"/>
      <c r="D594" s="15"/>
      <c r="E594" s="16"/>
      <c r="F594" s="15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</row>
    <row r="595" spans="1:49" ht="12.75" x14ac:dyDescent="0.2">
      <c r="A595" s="5"/>
      <c r="C595" s="15"/>
      <c r="D595" s="15"/>
      <c r="E595" s="16"/>
      <c r="F595" s="15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</row>
    <row r="596" spans="1:49" ht="12.75" x14ac:dyDescent="0.2">
      <c r="A596" s="5"/>
      <c r="C596" s="15"/>
      <c r="D596" s="15"/>
      <c r="E596" s="16"/>
      <c r="F596" s="15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</row>
    <row r="597" spans="1:49" ht="12.75" x14ac:dyDescent="0.2">
      <c r="A597" s="5"/>
      <c r="C597" s="15"/>
      <c r="D597" s="15"/>
      <c r="E597" s="16"/>
      <c r="F597" s="15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</row>
    <row r="598" spans="1:49" ht="12.75" x14ac:dyDescent="0.2">
      <c r="A598" s="5"/>
      <c r="C598" s="15"/>
      <c r="D598" s="15"/>
      <c r="E598" s="16"/>
      <c r="F598" s="15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</row>
    <row r="599" spans="1:49" ht="12.75" x14ac:dyDescent="0.2">
      <c r="A599" s="5"/>
      <c r="C599" s="15"/>
      <c r="D599" s="15"/>
      <c r="E599" s="16"/>
      <c r="F599" s="15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</row>
    <row r="600" spans="1:49" ht="12.75" x14ac:dyDescent="0.2">
      <c r="A600" s="5"/>
      <c r="C600" s="15"/>
      <c r="D600" s="15"/>
      <c r="E600" s="16"/>
      <c r="F600" s="15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</row>
    <row r="601" spans="1:49" ht="12.75" x14ac:dyDescent="0.2">
      <c r="A601" s="5"/>
      <c r="C601" s="15"/>
      <c r="D601" s="15"/>
      <c r="E601" s="16"/>
      <c r="F601" s="15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</row>
    <row r="602" spans="1:49" ht="12.75" x14ac:dyDescent="0.2">
      <c r="A602" s="5"/>
      <c r="C602" s="15"/>
      <c r="D602" s="15"/>
      <c r="E602" s="16"/>
      <c r="F602" s="15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</row>
    <row r="603" spans="1:49" ht="12.75" x14ac:dyDescent="0.2">
      <c r="A603" s="5"/>
      <c r="C603" s="15"/>
      <c r="D603" s="15"/>
      <c r="E603" s="16"/>
      <c r="F603" s="15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</row>
    <row r="604" spans="1:49" ht="12.75" x14ac:dyDescent="0.2">
      <c r="A604" s="5"/>
      <c r="C604" s="15"/>
      <c r="D604" s="15"/>
      <c r="E604" s="16"/>
      <c r="F604" s="15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</row>
    <row r="605" spans="1:49" ht="12.75" x14ac:dyDescent="0.2">
      <c r="A605" s="5"/>
      <c r="C605" s="15"/>
      <c r="D605" s="15"/>
      <c r="E605" s="16"/>
      <c r="F605" s="15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</row>
    <row r="606" spans="1:49" ht="12.75" x14ac:dyDescent="0.2">
      <c r="A606" s="5"/>
      <c r="C606" s="15"/>
      <c r="D606" s="15"/>
      <c r="E606" s="16"/>
      <c r="F606" s="15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</row>
    <row r="607" spans="1:49" ht="12.75" x14ac:dyDescent="0.2">
      <c r="A607" s="5"/>
      <c r="C607" s="15"/>
      <c r="D607" s="15"/>
      <c r="E607" s="16"/>
      <c r="F607" s="15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</row>
    <row r="608" spans="1:49" ht="12.75" x14ac:dyDescent="0.2">
      <c r="A608" s="5"/>
      <c r="C608" s="15"/>
      <c r="D608" s="15"/>
      <c r="E608" s="16"/>
      <c r="F608" s="15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</row>
    <row r="609" spans="1:49" ht="12.75" x14ac:dyDescent="0.2">
      <c r="A609" s="5"/>
      <c r="C609" s="15"/>
      <c r="D609" s="15"/>
      <c r="E609" s="16"/>
      <c r="F609" s="15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</row>
    <row r="610" spans="1:49" ht="12.75" x14ac:dyDescent="0.2">
      <c r="A610" s="5"/>
      <c r="C610" s="15"/>
      <c r="D610" s="15"/>
      <c r="E610" s="16"/>
      <c r="F610" s="15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</row>
    <row r="611" spans="1:49" ht="12.75" x14ac:dyDescent="0.2">
      <c r="A611" s="5"/>
      <c r="C611" s="15"/>
      <c r="D611" s="15"/>
      <c r="E611" s="16"/>
      <c r="F611" s="15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</row>
    <row r="612" spans="1:49" ht="12.75" x14ac:dyDescent="0.2">
      <c r="A612" s="5"/>
      <c r="C612" s="15"/>
      <c r="D612" s="15"/>
      <c r="E612" s="16"/>
      <c r="F612" s="15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</row>
    <row r="613" spans="1:49" ht="12.75" x14ac:dyDescent="0.2">
      <c r="A613" s="5"/>
      <c r="C613" s="15"/>
      <c r="D613" s="15"/>
      <c r="E613" s="16"/>
      <c r="F613" s="15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</row>
    <row r="614" spans="1:49" ht="12.75" x14ac:dyDescent="0.2">
      <c r="A614" s="5"/>
      <c r="C614" s="15"/>
      <c r="D614" s="15"/>
      <c r="E614" s="16"/>
      <c r="F614" s="15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</row>
    <row r="615" spans="1:49" ht="12.75" x14ac:dyDescent="0.2">
      <c r="A615" s="5"/>
      <c r="C615" s="15"/>
      <c r="D615" s="15"/>
      <c r="E615" s="16"/>
      <c r="F615" s="15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</row>
    <row r="616" spans="1:49" ht="12.75" x14ac:dyDescent="0.2">
      <c r="A616" s="5"/>
      <c r="C616" s="15"/>
      <c r="D616" s="15"/>
      <c r="E616" s="16"/>
      <c r="F616" s="15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</row>
    <row r="617" spans="1:49" ht="12.75" x14ac:dyDescent="0.2">
      <c r="A617" s="5"/>
      <c r="C617" s="15"/>
      <c r="D617" s="15"/>
      <c r="E617" s="16"/>
      <c r="F617" s="15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</row>
    <row r="618" spans="1:49" ht="12.75" x14ac:dyDescent="0.2">
      <c r="A618" s="5"/>
      <c r="C618" s="15"/>
      <c r="D618" s="15"/>
      <c r="E618" s="16"/>
      <c r="F618" s="15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</row>
    <row r="619" spans="1:49" ht="12.75" x14ac:dyDescent="0.2">
      <c r="A619" s="5"/>
      <c r="C619" s="15"/>
      <c r="D619" s="15"/>
      <c r="E619" s="16"/>
      <c r="F619" s="15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</row>
    <row r="620" spans="1:49" ht="12.75" x14ac:dyDescent="0.2">
      <c r="A620" s="5"/>
      <c r="C620" s="15"/>
      <c r="D620" s="15"/>
      <c r="E620" s="16"/>
      <c r="F620" s="15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</row>
    <row r="621" spans="1:49" ht="12.75" x14ac:dyDescent="0.2">
      <c r="A621" s="5"/>
      <c r="C621" s="15"/>
      <c r="D621" s="15"/>
      <c r="E621" s="16"/>
      <c r="F621" s="15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</row>
    <row r="622" spans="1:49" ht="12.75" x14ac:dyDescent="0.2">
      <c r="A622" s="5"/>
      <c r="C622" s="15"/>
      <c r="D622" s="15"/>
      <c r="E622" s="16"/>
      <c r="F622" s="15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</row>
    <row r="623" spans="1:49" ht="12.75" x14ac:dyDescent="0.2">
      <c r="A623" s="5"/>
      <c r="C623" s="15"/>
      <c r="D623" s="15"/>
      <c r="E623" s="16"/>
      <c r="F623" s="15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</row>
    <row r="624" spans="1:49" ht="12.75" x14ac:dyDescent="0.2">
      <c r="A624" s="5"/>
      <c r="C624" s="15"/>
      <c r="D624" s="15"/>
      <c r="E624" s="16"/>
      <c r="F624" s="15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</row>
    <row r="625" spans="1:49" ht="12.75" x14ac:dyDescent="0.2">
      <c r="A625" s="5"/>
      <c r="C625" s="15"/>
      <c r="D625" s="15"/>
      <c r="E625" s="16"/>
      <c r="F625" s="15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</row>
    <row r="626" spans="1:49" ht="12.75" x14ac:dyDescent="0.2">
      <c r="A626" s="5"/>
      <c r="C626" s="15"/>
      <c r="D626" s="15"/>
      <c r="E626" s="16"/>
      <c r="F626" s="15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</row>
    <row r="627" spans="1:49" ht="12.75" x14ac:dyDescent="0.2">
      <c r="A627" s="5"/>
      <c r="C627" s="15"/>
      <c r="D627" s="15"/>
      <c r="E627" s="16"/>
      <c r="F627" s="15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</row>
    <row r="628" spans="1:49" ht="12.75" x14ac:dyDescent="0.2">
      <c r="A628" s="5"/>
      <c r="C628" s="15"/>
      <c r="D628" s="15"/>
      <c r="E628" s="16"/>
      <c r="F628" s="15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</row>
    <row r="629" spans="1:49" ht="12.75" x14ac:dyDescent="0.2">
      <c r="A629" s="5"/>
      <c r="C629" s="15"/>
      <c r="D629" s="15"/>
      <c r="E629" s="16"/>
      <c r="F629" s="15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</row>
    <row r="630" spans="1:49" ht="12.75" x14ac:dyDescent="0.2">
      <c r="A630" s="5"/>
      <c r="C630" s="15"/>
      <c r="D630" s="15"/>
      <c r="E630" s="16"/>
      <c r="F630" s="15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</row>
    <row r="631" spans="1:49" ht="12.75" x14ac:dyDescent="0.2">
      <c r="A631" s="5"/>
      <c r="C631" s="15"/>
      <c r="D631" s="15"/>
      <c r="E631" s="16"/>
      <c r="F631" s="15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</row>
    <row r="632" spans="1:49" ht="12.75" x14ac:dyDescent="0.2">
      <c r="A632" s="5"/>
      <c r="C632" s="15"/>
      <c r="D632" s="15"/>
      <c r="E632" s="16"/>
      <c r="F632" s="15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</row>
    <row r="633" spans="1:49" ht="12.75" x14ac:dyDescent="0.2">
      <c r="A633" s="5"/>
      <c r="C633" s="15"/>
      <c r="D633" s="15"/>
      <c r="E633" s="16"/>
      <c r="F633" s="15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</row>
    <row r="634" spans="1:49" ht="12.75" x14ac:dyDescent="0.2">
      <c r="A634" s="5"/>
      <c r="C634" s="15"/>
      <c r="D634" s="15"/>
      <c r="E634" s="16"/>
      <c r="F634" s="15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</row>
    <row r="635" spans="1:49" ht="12.75" x14ac:dyDescent="0.2">
      <c r="A635" s="5"/>
      <c r="C635" s="15"/>
      <c r="D635" s="15"/>
      <c r="E635" s="16"/>
      <c r="F635" s="15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</row>
    <row r="636" spans="1:49" ht="12.75" x14ac:dyDescent="0.2">
      <c r="A636" s="5"/>
      <c r="C636" s="15"/>
      <c r="D636" s="15"/>
      <c r="E636" s="16"/>
      <c r="F636" s="15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</row>
    <row r="637" spans="1:49" ht="12.75" x14ac:dyDescent="0.2">
      <c r="A637" s="5"/>
      <c r="C637" s="15"/>
      <c r="D637" s="15"/>
      <c r="E637" s="16"/>
      <c r="F637" s="15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</row>
    <row r="638" spans="1:49" ht="12.75" x14ac:dyDescent="0.2">
      <c r="A638" s="5"/>
      <c r="C638" s="15"/>
      <c r="D638" s="15"/>
      <c r="E638" s="16"/>
      <c r="F638" s="15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</row>
    <row r="639" spans="1:49" ht="12.75" x14ac:dyDescent="0.2">
      <c r="A639" s="5"/>
      <c r="C639" s="15"/>
      <c r="D639" s="15"/>
      <c r="E639" s="16"/>
      <c r="F639" s="15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</row>
    <row r="640" spans="1:49" ht="12.75" x14ac:dyDescent="0.2">
      <c r="A640" s="5"/>
      <c r="C640" s="15"/>
      <c r="D640" s="15"/>
      <c r="E640" s="16"/>
      <c r="F640" s="15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</row>
    <row r="641" spans="1:49" ht="12.75" x14ac:dyDescent="0.2">
      <c r="A641" s="5"/>
      <c r="C641" s="15"/>
      <c r="D641" s="15"/>
      <c r="E641" s="16"/>
      <c r="F641" s="15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</row>
    <row r="642" spans="1:49" ht="12.75" x14ac:dyDescent="0.2">
      <c r="A642" s="5"/>
      <c r="C642" s="15"/>
      <c r="D642" s="15"/>
      <c r="E642" s="16"/>
      <c r="F642" s="15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</row>
    <row r="643" spans="1:49" ht="12.75" x14ac:dyDescent="0.2">
      <c r="A643" s="5"/>
      <c r="C643" s="15"/>
      <c r="D643" s="15"/>
      <c r="E643" s="16"/>
      <c r="F643" s="15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</row>
    <row r="644" spans="1:49" ht="12.75" x14ac:dyDescent="0.2">
      <c r="A644" s="5"/>
      <c r="C644" s="15"/>
      <c r="D644" s="15"/>
      <c r="E644" s="16"/>
      <c r="F644" s="15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</row>
    <row r="645" spans="1:49" ht="12.75" x14ac:dyDescent="0.2">
      <c r="A645" s="5"/>
      <c r="C645" s="15"/>
      <c r="D645" s="15"/>
      <c r="E645" s="16"/>
      <c r="F645" s="15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</row>
    <row r="646" spans="1:49" ht="12.75" x14ac:dyDescent="0.2">
      <c r="A646" s="5"/>
      <c r="C646" s="15"/>
      <c r="D646" s="15"/>
      <c r="E646" s="16"/>
      <c r="F646" s="15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</row>
    <row r="647" spans="1:49" ht="12.75" x14ac:dyDescent="0.2">
      <c r="A647" s="5"/>
      <c r="C647" s="15"/>
      <c r="D647" s="15"/>
      <c r="E647" s="16"/>
      <c r="F647" s="15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</row>
    <row r="648" spans="1:49" ht="12.75" x14ac:dyDescent="0.2">
      <c r="A648" s="5"/>
      <c r="C648" s="15"/>
      <c r="D648" s="15"/>
      <c r="E648" s="16"/>
      <c r="F648" s="15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</row>
    <row r="649" spans="1:49" ht="12.75" x14ac:dyDescent="0.2">
      <c r="A649" s="5"/>
      <c r="C649" s="15"/>
      <c r="D649" s="15"/>
      <c r="E649" s="16"/>
      <c r="F649" s="15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</row>
    <row r="650" spans="1:49" ht="12.75" x14ac:dyDescent="0.2">
      <c r="A650" s="5"/>
      <c r="C650" s="15"/>
      <c r="D650" s="15"/>
      <c r="E650" s="16"/>
      <c r="F650" s="15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</row>
    <row r="651" spans="1:49" ht="12.75" x14ac:dyDescent="0.2">
      <c r="A651" s="5"/>
      <c r="C651" s="15"/>
      <c r="D651" s="15"/>
      <c r="E651" s="16"/>
      <c r="F651" s="15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</row>
    <row r="652" spans="1:49" ht="12.75" x14ac:dyDescent="0.2">
      <c r="A652" s="5"/>
      <c r="C652" s="15"/>
      <c r="D652" s="15"/>
      <c r="E652" s="16"/>
      <c r="F652" s="15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</row>
    <row r="653" spans="1:49" ht="12.75" x14ac:dyDescent="0.2">
      <c r="A653" s="5"/>
      <c r="C653" s="15"/>
      <c r="D653" s="15"/>
      <c r="E653" s="16"/>
      <c r="F653" s="15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</row>
    <row r="654" spans="1:49" ht="12.75" x14ac:dyDescent="0.2">
      <c r="A654" s="5"/>
      <c r="C654" s="15"/>
      <c r="D654" s="15"/>
      <c r="E654" s="16"/>
      <c r="F654" s="15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</row>
    <row r="655" spans="1:49" ht="12.75" x14ac:dyDescent="0.2">
      <c r="A655" s="5"/>
      <c r="C655" s="15"/>
      <c r="D655" s="15"/>
      <c r="E655" s="16"/>
      <c r="F655" s="15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</row>
    <row r="656" spans="1:49" ht="12.75" x14ac:dyDescent="0.2">
      <c r="A656" s="5"/>
      <c r="C656" s="15"/>
      <c r="D656" s="15"/>
      <c r="E656" s="16"/>
      <c r="F656" s="15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</row>
    <row r="657" spans="1:49" ht="12.75" x14ac:dyDescent="0.2">
      <c r="A657" s="5"/>
      <c r="C657" s="15"/>
      <c r="D657" s="15"/>
      <c r="E657" s="16"/>
      <c r="F657" s="15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</row>
    <row r="658" spans="1:49" ht="12.75" x14ac:dyDescent="0.2">
      <c r="A658" s="5"/>
      <c r="C658" s="15"/>
      <c r="D658" s="15"/>
      <c r="E658" s="16"/>
      <c r="F658" s="15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</row>
    <row r="659" spans="1:49" ht="12.75" x14ac:dyDescent="0.2">
      <c r="A659" s="5"/>
      <c r="C659" s="15"/>
      <c r="D659" s="15"/>
      <c r="E659" s="16"/>
      <c r="F659" s="15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</row>
    <row r="660" spans="1:49" ht="12.75" x14ac:dyDescent="0.2">
      <c r="A660" s="5"/>
      <c r="C660" s="15"/>
      <c r="D660" s="15"/>
      <c r="E660" s="16"/>
      <c r="F660" s="15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</row>
    <row r="661" spans="1:49" ht="12.75" x14ac:dyDescent="0.2">
      <c r="A661" s="5"/>
      <c r="C661" s="15"/>
      <c r="D661" s="15"/>
      <c r="E661" s="16"/>
      <c r="F661" s="15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</row>
    <row r="662" spans="1:49" ht="12.75" x14ac:dyDescent="0.2">
      <c r="A662" s="5"/>
      <c r="C662" s="15"/>
      <c r="D662" s="15"/>
      <c r="E662" s="16"/>
      <c r="F662" s="15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</row>
    <row r="663" spans="1:49" ht="12.75" x14ac:dyDescent="0.2">
      <c r="A663" s="5"/>
      <c r="C663" s="15"/>
      <c r="D663" s="15"/>
      <c r="E663" s="16"/>
      <c r="F663" s="15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</row>
    <row r="664" spans="1:49" ht="12.75" x14ac:dyDescent="0.2">
      <c r="A664" s="5"/>
      <c r="C664" s="15"/>
      <c r="D664" s="15"/>
      <c r="E664" s="16"/>
      <c r="F664" s="15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</row>
    <row r="665" spans="1:49" ht="12.75" x14ac:dyDescent="0.2">
      <c r="A665" s="5"/>
      <c r="C665" s="15"/>
      <c r="D665" s="15"/>
      <c r="E665" s="16"/>
      <c r="F665" s="15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</row>
    <row r="666" spans="1:49" ht="12.75" x14ac:dyDescent="0.2">
      <c r="A666" s="5"/>
      <c r="C666" s="15"/>
      <c r="D666" s="15"/>
      <c r="E666" s="16"/>
      <c r="F666" s="15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</row>
    <row r="667" spans="1:49" ht="12.75" x14ac:dyDescent="0.2">
      <c r="A667" s="5"/>
      <c r="C667" s="15"/>
      <c r="D667" s="15"/>
      <c r="E667" s="16"/>
      <c r="F667" s="15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</row>
    <row r="668" spans="1:49" ht="12.75" x14ac:dyDescent="0.2">
      <c r="A668" s="5"/>
      <c r="C668" s="15"/>
      <c r="D668" s="15"/>
      <c r="E668" s="16"/>
      <c r="F668" s="15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</row>
    <row r="669" spans="1:49" ht="12.75" x14ac:dyDescent="0.2">
      <c r="A669" s="5"/>
      <c r="C669" s="15"/>
      <c r="D669" s="15"/>
      <c r="E669" s="16"/>
      <c r="F669" s="15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</row>
    <row r="670" spans="1:49" ht="12.75" x14ac:dyDescent="0.2">
      <c r="A670" s="5"/>
      <c r="C670" s="15"/>
      <c r="D670" s="15"/>
      <c r="E670" s="16"/>
      <c r="F670" s="15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</row>
    <row r="671" spans="1:49" ht="12.75" x14ac:dyDescent="0.2">
      <c r="A671" s="5"/>
      <c r="C671" s="15"/>
      <c r="D671" s="15"/>
      <c r="E671" s="16"/>
      <c r="F671" s="15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</row>
    <row r="672" spans="1:49" ht="12.75" x14ac:dyDescent="0.2">
      <c r="A672" s="5"/>
      <c r="C672" s="15"/>
      <c r="D672" s="15"/>
      <c r="E672" s="16"/>
      <c r="F672" s="15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</row>
    <row r="673" spans="1:49" ht="12.75" x14ac:dyDescent="0.2">
      <c r="A673" s="5"/>
      <c r="C673" s="15"/>
      <c r="D673" s="15"/>
      <c r="E673" s="16"/>
      <c r="F673" s="15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</row>
    <row r="674" spans="1:49" ht="12.75" x14ac:dyDescent="0.2">
      <c r="A674" s="5"/>
      <c r="C674" s="15"/>
      <c r="D674" s="15"/>
      <c r="E674" s="16"/>
      <c r="F674" s="15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</row>
    <row r="675" spans="1:49" ht="12.75" x14ac:dyDescent="0.2">
      <c r="A675" s="5"/>
      <c r="C675" s="15"/>
      <c r="D675" s="15"/>
      <c r="E675" s="16"/>
      <c r="F675" s="15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</row>
    <row r="676" spans="1:49" ht="12.75" x14ac:dyDescent="0.2">
      <c r="A676" s="5"/>
      <c r="C676" s="15"/>
      <c r="D676" s="15"/>
      <c r="E676" s="16"/>
      <c r="F676" s="15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</row>
    <row r="677" spans="1:49" ht="12.75" x14ac:dyDescent="0.2">
      <c r="A677" s="5"/>
      <c r="C677" s="15"/>
      <c r="D677" s="15"/>
      <c r="E677" s="16"/>
      <c r="F677" s="15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</row>
    <row r="678" spans="1:49" ht="12.75" x14ac:dyDescent="0.2">
      <c r="A678" s="5"/>
      <c r="C678" s="15"/>
      <c r="D678" s="15"/>
      <c r="E678" s="16"/>
      <c r="F678" s="15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</row>
    <row r="679" spans="1:49" ht="12.75" x14ac:dyDescent="0.2">
      <c r="A679" s="5"/>
      <c r="C679" s="15"/>
      <c r="D679" s="15"/>
      <c r="E679" s="16"/>
      <c r="F679" s="15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</row>
    <row r="680" spans="1:49" ht="12.75" x14ac:dyDescent="0.2">
      <c r="A680" s="5"/>
      <c r="C680" s="15"/>
      <c r="D680" s="15"/>
      <c r="E680" s="16"/>
      <c r="F680" s="15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</row>
    <row r="681" spans="1:49" ht="12.75" x14ac:dyDescent="0.2">
      <c r="A681" s="5"/>
      <c r="C681" s="15"/>
      <c r="D681" s="15"/>
      <c r="E681" s="16"/>
      <c r="F681" s="15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</row>
    <row r="682" spans="1:49" ht="12.75" x14ac:dyDescent="0.2">
      <c r="A682" s="5"/>
      <c r="C682" s="15"/>
      <c r="D682" s="15"/>
      <c r="E682" s="16"/>
      <c r="F682" s="15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</row>
    <row r="683" spans="1:49" ht="12.75" x14ac:dyDescent="0.2">
      <c r="A683" s="5"/>
      <c r="C683" s="15"/>
      <c r="D683" s="15"/>
      <c r="E683" s="16"/>
      <c r="F683" s="15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</row>
    <row r="684" spans="1:49" ht="12.75" x14ac:dyDescent="0.2">
      <c r="A684" s="5"/>
      <c r="C684" s="15"/>
      <c r="D684" s="15"/>
      <c r="E684" s="16"/>
      <c r="F684" s="15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</row>
    <row r="685" spans="1:49" ht="12.75" x14ac:dyDescent="0.2">
      <c r="A685" s="5"/>
      <c r="C685" s="15"/>
      <c r="D685" s="15"/>
      <c r="E685" s="16"/>
      <c r="F685" s="15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</row>
    <row r="686" spans="1:49" ht="12.75" x14ac:dyDescent="0.2">
      <c r="A686" s="5"/>
      <c r="C686" s="15"/>
      <c r="D686" s="15"/>
      <c r="E686" s="16"/>
      <c r="F686" s="15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</row>
    <row r="687" spans="1:49" ht="12.75" x14ac:dyDescent="0.2">
      <c r="A687" s="5"/>
      <c r="C687" s="15"/>
      <c r="D687" s="15"/>
      <c r="E687" s="16"/>
      <c r="F687" s="15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</row>
    <row r="688" spans="1:49" ht="12.75" x14ac:dyDescent="0.2">
      <c r="A688" s="5"/>
      <c r="C688" s="15"/>
      <c r="D688" s="15"/>
      <c r="E688" s="16"/>
      <c r="F688" s="15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</row>
    <row r="689" spans="1:49" ht="12.75" x14ac:dyDescent="0.2">
      <c r="A689" s="5"/>
      <c r="C689" s="15"/>
      <c r="D689" s="15"/>
      <c r="E689" s="16"/>
      <c r="F689" s="15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</row>
    <row r="690" spans="1:49" ht="12.75" x14ac:dyDescent="0.2">
      <c r="A690" s="5"/>
      <c r="C690" s="15"/>
      <c r="D690" s="15"/>
      <c r="E690" s="16"/>
      <c r="F690" s="15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</row>
    <row r="691" spans="1:49" ht="12.75" x14ac:dyDescent="0.2">
      <c r="A691" s="5"/>
      <c r="C691" s="15"/>
      <c r="D691" s="15"/>
      <c r="E691" s="16"/>
      <c r="F691" s="15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</row>
    <row r="692" spans="1:49" ht="12.75" x14ac:dyDescent="0.2">
      <c r="A692" s="5"/>
      <c r="C692" s="15"/>
      <c r="D692" s="15"/>
      <c r="E692" s="16"/>
      <c r="F692" s="15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</row>
    <row r="693" spans="1:49" ht="12.75" x14ac:dyDescent="0.2">
      <c r="A693" s="5"/>
      <c r="C693" s="15"/>
      <c r="D693" s="15"/>
      <c r="E693" s="16"/>
      <c r="F693" s="15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</row>
    <row r="694" spans="1:49" ht="12.75" x14ac:dyDescent="0.2">
      <c r="A694" s="5"/>
      <c r="C694" s="15"/>
      <c r="D694" s="15"/>
      <c r="E694" s="16"/>
      <c r="F694" s="15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</row>
    <row r="695" spans="1:49" ht="12.75" x14ac:dyDescent="0.2">
      <c r="A695" s="5"/>
      <c r="C695" s="15"/>
      <c r="D695" s="15"/>
      <c r="E695" s="16"/>
      <c r="F695" s="15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</row>
    <row r="696" spans="1:49" ht="12.75" x14ac:dyDescent="0.2">
      <c r="A696" s="5"/>
      <c r="C696" s="15"/>
      <c r="D696" s="15"/>
      <c r="E696" s="16"/>
      <c r="F696" s="15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</row>
    <row r="697" spans="1:49" ht="12.75" x14ac:dyDescent="0.2">
      <c r="A697" s="5"/>
      <c r="C697" s="15"/>
      <c r="D697" s="15"/>
      <c r="E697" s="16"/>
      <c r="F697" s="15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</row>
    <row r="698" spans="1:49" ht="12.75" x14ac:dyDescent="0.2">
      <c r="A698" s="5"/>
      <c r="C698" s="15"/>
      <c r="D698" s="15"/>
      <c r="E698" s="16"/>
      <c r="F698" s="15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</row>
    <row r="699" spans="1:49" ht="12.75" x14ac:dyDescent="0.2">
      <c r="A699" s="5"/>
      <c r="C699" s="15"/>
      <c r="D699" s="15"/>
      <c r="E699" s="16"/>
      <c r="F699" s="15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</row>
    <row r="700" spans="1:49" ht="12.75" x14ac:dyDescent="0.2">
      <c r="A700" s="5"/>
      <c r="C700" s="15"/>
      <c r="D700" s="15"/>
      <c r="E700" s="16"/>
      <c r="F700" s="15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</row>
    <row r="701" spans="1:49" ht="12.75" x14ac:dyDescent="0.2">
      <c r="A701" s="5"/>
      <c r="C701" s="15"/>
      <c r="D701" s="15"/>
      <c r="E701" s="16"/>
      <c r="F701" s="15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</row>
    <row r="702" spans="1:49" ht="12.75" x14ac:dyDescent="0.2">
      <c r="A702" s="5"/>
      <c r="C702" s="15"/>
      <c r="D702" s="15"/>
      <c r="E702" s="16"/>
      <c r="F702" s="15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</row>
    <row r="703" spans="1:49" ht="12.75" x14ac:dyDescent="0.2">
      <c r="A703" s="5"/>
      <c r="C703" s="15"/>
      <c r="D703" s="15"/>
      <c r="E703" s="16"/>
      <c r="F703" s="15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</row>
    <row r="704" spans="1:49" ht="12.75" x14ac:dyDescent="0.2">
      <c r="A704" s="5"/>
      <c r="C704" s="15"/>
      <c r="D704" s="15"/>
      <c r="E704" s="16"/>
      <c r="F704" s="15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</row>
    <row r="705" spans="1:49" ht="12.75" x14ac:dyDescent="0.2">
      <c r="A705" s="5"/>
      <c r="C705" s="15"/>
      <c r="D705" s="15"/>
      <c r="E705" s="16"/>
      <c r="F705" s="15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</row>
    <row r="706" spans="1:49" ht="12.75" x14ac:dyDescent="0.2">
      <c r="A706" s="5"/>
      <c r="C706" s="15"/>
      <c r="D706" s="15"/>
      <c r="E706" s="16"/>
      <c r="F706" s="15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</row>
    <row r="707" spans="1:49" ht="12.75" x14ac:dyDescent="0.2">
      <c r="A707" s="5"/>
      <c r="C707" s="15"/>
      <c r="D707" s="15"/>
      <c r="E707" s="16"/>
      <c r="F707" s="15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</row>
    <row r="708" spans="1:49" ht="12.75" x14ac:dyDescent="0.2">
      <c r="A708" s="5"/>
      <c r="C708" s="15"/>
      <c r="D708" s="15"/>
      <c r="E708" s="16"/>
      <c r="F708" s="15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</row>
    <row r="709" spans="1:49" ht="12.75" x14ac:dyDescent="0.2">
      <c r="A709" s="5"/>
      <c r="C709" s="15"/>
      <c r="D709" s="15"/>
      <c r="E709" s="16"/>
      <c r="F709" s="15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</row>
    <row r="710" spans="1:49" ht="12.75" x14ac:dyDescent="0.2">
      <c r="A710" s="5"/>
      <c r="C710" s="15"/>
      <c r="D710" s="15"/>
      <c r="E710" s="16"/>
      <c r="F710" s="15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</row>
    <row r="711" spans="1:49" ht="12.75" x14ac:dyDescent="0.2">
      <c r="A711" s="5"/>
      <c r="C711" s="15"/>
      <c r="D711" s="15"/>
      <c r="E711" s="16"/>
      <c r="F711" s="15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</row>
    <row r="712" spans="1:49" ht="12.75" x14ac:dyDescent="0.2">
      <c r="A712" s="5"/>
      <c r="C712" s="15"/>
      <c r="D712" s="15"/>
      <c r="E712" s="16"/>
      <c r="F712" s="15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</row>
    <row r="713" spans="1:49" ht="12.75" x14ac:dyDescent="0.2">
      <c r="A713" s="5"/>
      <c r="C713" s="15"/>
      <c r="D713" s="15"/>
      <c r="E713" s="16"/>
      <c r="F713" s="15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</row>
    <row r="714" spans="1:49" ht="12.75" x14ac:dyDescent="0.2">
      <c r="A714" s="5"/>
      <c r="C714" s="15"/>
      <c r="D714" s="15"/>
      <c r="E714" s="16"/>
      <c r="F714" s="15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</row>
    <row r="715" spans="1:49" ht="12.75" x14ac:dyDescent="0.2">
      <c r="A715" s="5"/>
      <c r="C715" s="15"/>
      <c r="D715" s="15"/>
      <c r="E715" s="16"/>
      <c r="F715" s="15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</row>
    <row r="716" spans="1:49" ht="12.75" x14ac:dyDescent="0.2">
      <c r="A716" s="5"/>
      <c r="C716" s="15"/>
      <c r="D716" s="15"/>
      <c r="E716" s="16"/>
      <c r="F716" s="15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</row>
    <row r="717" spans="1:49" ht="12.75" x14ac:dyDescent="0.2">
      <c r="A717" s="5"/>
      <c r="C717" s="15"/>
      <c r="D717" s="15"/>
      <c r="E717" s="16"/>
      <c r="F717" s="15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</row>
    <row r="718" spans="1:49" ht="12.75" x14ac:dyDescent="0.2">
      <c r="A718" s="5"/>
      <c r="C718" s="15"/>
      <c r="D718" s="15"/>
      <c r="E718" s="16"/>
      <c r="F718" s="15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</row>
    <row r="719" spans="1:49" ht="12.75" x14ac:dyDescent="0.2">
      <c r="A719" s="5"/>
      <c r="C719" s="15"/>
      <c r="D719" s="15"/>
      <c r="E719" s="16"/>
      <c r="F719" s="15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</row>
    <row r="720" spans="1:49" ht="12.75" x14ac:dyDescent="0.2">
      <c r="A720" s="5"/>
      <c r="C720" s="15"/>
      <c r="D720" s="15"/>
      <c r="E720" s="16"/>
      <c r="F720" s="15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</row>
    <row r="721" spans="1:49" ht="12.75" x14ac:dyDescent="0.2">
      <c r="A721" s="5"/>
      <c r="C721" s="15"/>
      <c r="D721" s="15"/>
      <c r="E721" s="16"/>
      <c r="F721" s="15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</row>
    <row r="722" spans="1:49" ht="12.75" x14ac:dyDescent="0.2">
      <c r="A722" s="5"/>
      <c r="C722" s="15"/>
      <c r="D722" s="15"/>
      <c r="E722" s="16"/>
      <c r="F722" s="15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</row>
    <row r="723" spans="1:49" ht="12.75" x14ac:dyDescent="0.2">
      <c r="A723" s="5"/>
      <c r="C723" s="15"/>
      <c r="D723" s="15"/>
      <c r="E723" s="16"/>
      <c r="F723" s="15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</row>
    <row r="724" spans="1:49" ht="12.75" x14ac:dyDescent="0.2">
      <c r="A724" s="5"/>
      <c r="C724" s="15"/>
      <c r="D724" s="15"/>
      <c r="E724" s="16"/>
      <c r="F724" s="15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</row>
    <row r="725" spans="1:49" ht="12.75" x14ac:dyDescent="0.2">
      <c r="A725" s="5"/>
      <c r="C725" s="15"/>
      <c r="D725" s="15"/>
      <c r="E725" s="16"/>
      <c r="F725" s="15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</row>
    <row r="726" spans="1:49" ht="12.75" x14ac:dyDescent="0.2">
      <c r="A726" s="5"/>
      <c r="C726" s="15"/>
      <c r="D726" s="15"/>
      <c r="E726" s="16"/>
      <c r="F726" s="15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</row>
    <row r="727" spans="1:49" ht="12.75" x14ac:dyDescent="0.2">
      <c r="A727" s="5"/>
      <c r="C727" s="15"/>
      <c r="D727" s="15"/>
      <c r="E727" s="16"/>
      <c r="F727" s="15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</row>
    <row r="728" spans="1:49" ht="12.75" x14ac:dyDescent="0.2">
      <c r="A728" s="5"/>
      <c r="C728" s="15"/>
      <c r="D728" s="15"/>
      <c r="E728" s="16"/>
      <c r="F728" s="15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</row>
    <row r="729" spans="1:49" ht="12.75" x14ac:dyDescent="0.2">
      <c r="A729" s="5"/>
      <c r="C729" s="15"/>
      <c r="D729" s="15"/>
      <c r="E729" s="16"/>
      <c r="F729" s="15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</row>
    <row r="730" spans="1:49" ht="12.75" x14ac:dyDescent="0.2">
      <c r="A730" s="5"/>
      <c r="C730" s="15"/>
      <c r="D730" s="15"/>
      <c r="E730" s="16"/>
      <c r="F730" s="15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</row>
    <row r="731" spans="1:49" ht="12.75" x14ac:dyDescent="0.2">
      <c r="A731" s="5"/>
      <c r="C731" s="15"/>
      <c r="D731" s="15"/>
      <c r="E731" s="16"/>
      <c r="F731" s="15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</row>
    <row r="732" spans="1:49" ht="12.75" x14ac:dyDescent="0.2">
      <c r="A732" s="5"/>
      <c r="C732" s="15"/>
      <c r="D732" s="15"/>
      <c r="E732" s="16"/>
      <c r="F732" s="15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</row>
    <row r="733" spans="1:49" ht="12.75" x14ac:dyDescent="0.2">
      <c r="A733" s="5"/>
      <c r="C733" s="15"/>
      <c r="D733" s="15"/>
      <c r="E733" s="16"/>
      <c r="F733" s="15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</row>
    <row r="734" spans="1:49" ht="12.75" x14ac:dyDescent="0.2">
      <c r="A734" s="5"/>
      <c r="C734" s="15"/>
      <c r="D734" s="15"/>
      <c r="E734" s="16"/>
      <c r="F734" s="15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</row>
    <row r="735" spans="1:49" ht="12.75" x14ac:dyDescent="0.2">
      <c r="A735" s="5"/>
      <c r="C735" s="15"/>
      <c r="D735" s="15"/>
      <c r="E735" s="16"/>
      <c r="F735" s="15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</row>
    <row r="736" spans="1:49" ht="12.75" x14ac:dyDescent="0.2">
      <c r="A736" s="5"/>
      <c r="C736" s="15"/>
      <c r="D736" s="15"/>
      <c r="E736" s="16"/>
      <c r="F736" s="15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</row>
    <row r="737" spans="1:49" ht="12.75" x14ac:dyDescent="0.2">
      <c r="A737" s="5"/>
      <c r="C737" s="15"/>
      <c r="D737" s="15"/>
      <c r="E737" s="16"/>
      <c r="F737" s="15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</row>
    <row r="738" spans="1:49" ht="12.75" x14ac:dyDescent="0.2">
      <c r="A738" s="5"/>
      <c r="C738" s="15"/>
      <c r="D738" s="15"/>
      <c r="E738" s="16"/>
      <c r="F738" s="15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</row>
    <row r="739" spans="1:49" ht="12.75" x14ac:dyDescent="0.2">
      <c r="A739" s="5"/>
      <c r="C739" s="15"/>
      <c r="D739" s="15"/>
      <c r="E739" s="16"/>
      <c r="F739" s="15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</row>
    <row r="740" spans="1:49" ht="12.75" x14ac:dyDescent="0.2">
      <c r="A740" s="5"/>
      <c r="C740" s="15"/>
      <c r="D740" s="15"/>
      <c r="E740" s="16"/>
      <c r="F740" s="15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</row>
    <row r="741" spans="1:49" ht="12.75" x14ac:dyDescent="0.2">
      <c r="A741" s="5"/>
      <c r="C741" s="15"/>
      <c r="D741" s="15"/>
      <c r="E741" s="16"/>
      <c r="F741" s="15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</row>
    <row r="742" spans="1:49" ht="12.75" x14ac:dyDescent="0.2">
      <c r="A742" s="5"/>
      <c r="C742" s="15"/>
      <c r="D742" s="15"/>
      <c r="E742" s="16"/>
      <c r="F742" s="15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</row>
    <row r="743" spans="1:49" ht="12.75" x14ac:dyDescent="0.2">
      <c r="A743" s="5"/>
      <c r="C743" s="15"/>
      <c r="D743" s="15"/>
      <c r="E743" s="16"/>
      <c r="F743" s="15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</row>
    <row r="744" spans="1:49" ht="12.75" x14ac:dyDescent="0.2">
      <c r="A744" s="5"/>
      <c r="C744" s="15"/>
      <c r="D744" s="15"/>
      <c r="E744" s="16"/>
      <c r="F744" s="15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</row>
    <row r="745" spans="1:49" ht="12.75" x14ac:dyDescent="0.2">
      <c r="A745" s="5"/>
      <c r="C745" s="15"/>
      <c r="D745" s="15"/>
      <c r="E745" s="16"/>
      <c r="F745" s="15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</row>
    <row r="746" spans="1:49" ht="12.75" x14ac:dyDescent="0.2">
      <c r="A746" s="5"/>
      <c r="C746" s="15"/>
      <c r="D746" s="15"/>
      <c r="E746" s="16"/>
      <c r="F746" s="15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</row>
    <row r="747" spans="1:49" ht="12.75" x14ac:dyDescent="0.2">
      <c r="A747" s="5"/>
      <c r="C747" s="15"/>
      <c r="D747" s="15"/>
      <c r="E747" s="16"/>
      <c r="F747" s="15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</row>
    <row r="748" spans="1:49" ht="12.75" x14ac:dyDescent="0.2">
      <c r="A748" s="5"/>
      <c r="C748" s="15"/>
      <c r="D748" s="15"/>
      <c r="E748" s="16"/>
      <c r="F748" s="15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</row>
    <row r="749" spans="1:49" ht="12.75" x14ac:dyDescent="0.2">
      <c r="A749" s="5"/>
      <c r="C749" s="15"/>
      <c r="D749" s="15"/>
      <c r="E749" s="16"/>
      <c r="F749" s="15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</row>
    <row r="750" spans="1:49" ht="12.75" x14ac:dyDescent="0.2">
      <c r="A750" s="5"/>
      <c r="C750" s="15"/>
      <c r="D750" s="15"/>
      <c r="E750" s="16"/>
      <c r="F750" s="15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</row>
    <row r="751" spans="1:49" ht="12.75" x14ac:dyDescent="0.2">
      <c r="A751" s="5"/>
      <c r="C751" s="15"/>
      <c r="D751" s="15"/>
      <c r="E751" s="16"/>
      <c r="F751" s="15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</row>
    <row r="752" spans="1:49" ht="12.75" x14ac:dyDescent="0.2">
      <c r="A752" s="5"/>
      <c r="C752" s="15"/>
      <c r="D752" s="15"/>
      <c r="E752" s="16"/>
      <c r="F752" s="15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</row>
    <row r="753" spans="1:49" ht="12.75" x14ac:dyDescent="0.2">
      <c r="A753" s="5"/>
      <c r="C753" s="15"/>
      <c r="D753" s="15"/>
      <c r="E753" s="16"/>
      <c r="F753" s="15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</row>
    <row r="754" spans="1:49" ht="12.75" x14ac:dyDescent="0.2">
      <c r="A754" s="5"/>
      <c r="C754" s="15"/>
      <c r="D754" s="15"/>
      <c r="E754" s="16"/>
      <c r="F754" s="15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</row>
    <row r="755" spans="1:49" ht="12.75" x14ac:dyDescent="0.2">
      <c r="A755" s="5"/>
      <c r="C755" s="15"/>
      <c r="D755" s="15"/>
      <c r="E755" s="16"/>
      <c r="F755" s="15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</row>
    <row r="756" spans="1:49" ht="12.75" x14ac:dyDescent="0.2">
      <c r="A756" s="5"/>
      <c r="C756" s="15"/>
      <c r="D756" s="15"/>
      <c r="E756" s="16"/>
      <c r="F756" s="15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</row>
    <row r="757" spans="1:49" ht="12.75" x14ac:dyDescent="0.2">
      <c r="A757" s="5"/>
      <c r="C757" s="15"/>
      <c r="D757" s="15"/>
      <c r="E757" s="16"/>
      <c r="F757" s="15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</row>
    <row r="758" spans="1:49" ht="12.75" x14ac:dyDescent="0.2">
      <c r="A758" s="5"/>
      <c r="C758" s="15"/>
      <c r="D758" s="15"/>
      <c r="E758" s="16"/>
      <c r="F758" s="15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</row>
    <row r="759" spans="1:49" ht="12.75" x14ac:dyDescent="0.2">
      <c r="A759" s="5"/>
      <c r="C759" s="15"/>
      <c r="D759" s="15"/>
      <c r="E759" s="16"/>
      <c r="F759" s="15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</row>
    <row r="760" spans="1:49" ht="12.75" x14ac:dyDescent="0.2">
      <c r="A760" s="5"/>
      <c r="C760" s="15"/>
      <c r="D760" s="15"/>
      <c r="E760" s="16"/>
      <c r="F760" s="15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</row>
    <row r="761" spans="1:49" ht="12.75" x14ac:dyDescent="0.2">
      <c r="A761" s="5"/>
      <c r="C761" s="15"/>
      <c r="D761" s="15"/>
      <c r="E761" s="16"/>
      <c r="F761" s="15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</row>
    <row r="762" spans="1:49" ht="12.75" x14ac:dyDescent="0.2">
      <c r="A762" s="5"/>
      <c r="C762" s="15"/>
      <c r="D762" s="15"/>
      <c r="E762" s="16"/>
      <c r="F762" s="15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</row>
    <row r="763" spans="1:49" ht="12.75" x14ac:dyDescent="0.2">
      <c r="A763" s="5"/>
      <c r="C763" s="15"/>
      <c r="D763" s="15"/>
      <c r="E763" s="16"/>
      <c r="F763" s="15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</row>
    <row r="764" spans="1:49" ht="12.75" x14ac:dyDescent="0.2">
      <c r="A764" s="5"/>
      <c r="C764" s="15"/>
      <c r="D764" s="15"/>
      <c r="E764" s="16"/>
      <c r="F764" s="15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</row>
    <row r="765" spans="1:49" ht="12.75" x14ac:dyDescent="0.2">
      <c r="A765" s="5"/>
      <c r="C765" s="15"/>
      <c r="D765" s="15"/>
      <c r="E765" s="16"/>
      <c r="F765" s="15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</row>
    <row r="766" spans="1:49" ht="12.75" x14ac:dyDescent="0.2">
      <c r="A766" s="5"/>
      <c r="C766" s="15"/>
      <c r="D766" s="15"/>
      <c r="E766" s="16"/>
      <c r="F766" s="15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</row>
    <row r="767" spans="1:49" ht="12.75" x14ac:dyDescent="0.2">
      <c r="A767" s="5"/>
      <c r="C767" s="15"/>
      <c r="D767" s="15"/>
      <c r="E767" s="16"/>
      <c r="F767" s="15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</row>
    <row r="768" spans="1:49" ht="12.75" x14ac:dyDescent="0.2">
      <c r="A768" s="5"/>
      <c r="C768" s="15"/>
      <c r="D768" s="15"/>
      <c r="E768" s="16"/>
      <c r="F768" s="15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</row>
    <row r="769" spans="1:49" ht="12.75" x14ac:dyDescent="0.2">
      <c r="A769" s="5"/>
      <c r="C769" s="15"/>
      <c r="D769" s="15"/>
      <c r="E769" s="16"/>
      <c r="F769" s="15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</row>
    <row r="770" spans="1:49" ht="12.75" x14ac:dyDescent="0.2">
      <c r="A770" s="5"/>
      <c r="C770" s="15"/>
      <c r="D770" s="15"/>
      <c r="E770" s="16"/>
      <c r="F770" s="15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</row>
    <row r="771" spans="1:49" ht="12.75" x14ac:dyDescent="0.2">
      <c r="A771" s="5"/>
      <c r="C771" s="15"/>
      <c r="D771" s="15"/>
      <c r="E771" s="16"/>
      <c r="F771" s="15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</row>
    <row r="772" spans="1:49" ht="12.75" x14ac:dyDescent="0.2">
      <c r="A772" s="5"/>
      <c r="C772" s="15"/>
      <c r="D772" s="15"/>
      <c r="E772" s="16"/>
      <c r="F772" s="15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</row>
    <row r="773" spans="1:49" ht="12.75" x14ac:dyDescent="0.2">
      <c r="A773" s="5"/>
      <c r="C773" s="15"/>
      <c r="D773" s="15"/>
      <c r="E773" s="16"/>
      <c r="F773" s="15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</row>
    <row r="774" spans="1:49" ht="12.75" x14ac:dyDescent="0.2">
      <c r="A774" s="5"/>
      <c r="C774" s="15"/>
      <c r="D774" s="15"/>
      <c r="E774" s="16"/>
      <c r="F774" s="15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</row>
    <row r="775" spans="1:49" ht="12.75" x14ac:dyDescent="0.2">
      <c r="A775" s="5"/>
      <c r="C775" s="15"/>
      <c r="D775" s="15"/>
      <c r="E775" s="16"/>
      <c r="F775" s="15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</row>
    <row r="776" spans="1:49" ht="12.75" x14ac:dyDescent="0.2">
      <c r="A776" s="5"/>
      <c r="C776" s="15"/>
      <c r="D776" s="15"/>
      <c r="E776" s="16"/>
      <c r="F776" s="15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</row>
    <row r="777" spans="1:49" ht="12.75" x14ac:dyDescent="0.2">
      <c r="A777" s="5"/>
      <c r="C777" s="15"/>
      <c r="D777" s="15"/>
      <c r="E777" s="16"/>
      <c r="F777" s="15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</row>
    <row r="778" spans="1:49" ht="12.75" x14ac:dyDescent="0.2">
      <c r="A778" s="5"/>
      <c r="C778" s="15"/>
      <c r="D778" s="15"/>
      <c r="E778" s="16"/>
      <c r="F778" s="15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</row>
    <row r="779" spans="1:49" ht="12.75" x14ac:dyDescent="0.2">
      <c r="A779" s="5"/>
      <c r="C779" s="15"/>
      <c r="D779" s="15"/>
      <c r="E779" s="16"/>
      <c r="F779" s="15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</row>
    <row r="780" spans="1:49" ht="12.75" x14ac:dyDescent="0.2">
      <c r="A780" s="5"/>
      <c r="C780" s="15"/>
      <c r="D780" s="15"/>
      <c r="E780" s="16"/>
      <c r="F780" s="15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</row>
    <row r="781" spans="1:49" ht="12.75" x14ac:dyDescent="0.2">
      <c r="A781" s="5"/>
      <c r="C781" s="15"/>
      <c r="D781" s="15"/>
      <c r="E781" s="16"/>
      <c r="F781" s="15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</row>
    <row r="782" spans="1:49" ht="12.75" x14ac:dyDescent="0.2">
      <c r="A782" s="5"/>
      <c r="C782" s="15"/>
      <c r="D782" s="15"/>
      <c r="E782" s="16"/>
      <c r="F782" s="15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</row>
    <row r="783" spans="1:49" ht="12.75" x14ac:dyDescent="0.2">
      <c r="A783" s="5"/>
      <c r="C783" s="15"/>
      <c r="D783" s="15"/>
      <c r="E783" s="16"/>
      <c r="F783" s="15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</row>
    <row r="784" spans="1:49" ht="12.75" x14ac:dyDescent="0.2">
      <c r="A784" s="5"/>
      <c r="C784" s="15"/>
      <c r="D784" s="15"/>
      <c r="E784" s="16"/>
      <c r="F784" s="15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</row>
    <row r="785" spans="1:49" ht="12.75" x14ac:dyDescent="0.2">
      <c r="A785" s="5"/>
      <c r="C785" s="15"/>
      <c r="D785" s="15"/>
      <c r="E785" s="16"/>
      <c r="F785" s="15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</row>
    <row r="786" spans="1:49" ht="12.75" x14ac:dyDescent="0.2">
      <c r="A786" s="5"/>
      <c r="C786" s="15"/>
      <c r="D786" s="15"/>
      <c r="E786" s="16"/>
      <c r="F786" s="15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</row>
    <row r="787" spans="1:49" ht="12.75" x14ac:dyDescent="0.2">
      <c r="A787" s="5"/>
      <c r="C787" s="15"/>
      <c r="D787" s="15"/>
      <c r="E787" s="16"/>
      <c r="F787" s="15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</row>
    <row r="788" spans="1:49" ht="12.75" x14ac:dyDescent="0.2">
      <c r="A788" s="5"/>
      <c r="C788" s="15"/>
      <c r="D788" s="15"/>
      <c r="E788" s="16"/>
      <c r="F788" s="15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</row>
    <row r="789" spans="1:49" ht="12.75" x14ac:dyDescent="0.2">
      <c r="A789" s="5"/>
      <c r="C789" s="15"/>
      <c r="D789" s="15"/>
      <c r="E789" s="16"/>
      <c r="F789" s="15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</row>
    <row r="790" spans="1:49" ht="12.75" x14ac:dyDescent="0.2">
      <c r="A790" s="5"/>
      <c r="C790" s="15"/>
      <c r="D790" s="15"/>
      <c r="E790" s="16"/>
      <c r="F790" s="15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</row>
    <row r="791" spans="1:49" ht="12.75" x14ac:dyDescent="0.2">
      <c r="A791" s="5"/>
      <c r="C791" s="15"/>
      <c r="D791" s="15"/>
      <c r="E791" s="16"/>
      <c r="F791" s="15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</row>
    <row r="792" spans="1:49" ht="12.75" x14ac:dyDescent="0.2">
      <c r="A792" s="5"/>
      <c r="C792" s="15"/>
      <c r="D792" s="15"/>
      <c r="E792" s="16"/>
      <c r="F792" s="15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</row>
    <row r="793" spans="1:49" ht="12.75" x14ac:dyDescent="0.2">
      <c r="A793" s="5"/>
      <c r="C793" s="15"/>
      <c r="D793" s="15"/>
      <c r="E793" s="16"/>
      <c r="F793" s="15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</row>
    <row r="794" spans="1:49" ht="12.75" x14ac:dyDescent="0.2">
      <c r="A794" s="5"/>
      <c r="C794" s="15"/>
      <c r="D794" s="15"/>
      <c r="E794" s="16"/>
      <c r="F794" s="15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</row>
    <row r="795" spans="1:49" ht="12.75" x14ac:dyDescent="0.2">
      <c r="A795" s="5"/>
      <c r="C795" s="15"/>
      <c r="D795" s="15"/>
      <c r="E795" s="16"/>
      <c r="F795" s="15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</row>
    <row r="796" spans="1:49" ht="12.75" x14ac:dyDescent="0.2">
      <c r="A796" s="5"/>
      <c r="C796" s="15"/>
      <c r="D796" s="15"/>
      <c r="E796" s="16"/>
      <c r="F796" s="15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</row>
    <row r="797" spans="1:49" ht="12.75" x14ac:dyDescent="0.2">
      <c r="A797" s="5"/>
      <c r="C797" s="15"/>
      <c r="D797" s="15"/>
      <c r="E797" s="16"/>
      <c r="F797" s="15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</row>
    <row r="798" spans="1:49" ht="12.75" x14ac:dyDescent="0.2">
      <c r="A798" s="5"/>
      <c r="C798" s="15"/>
      <c r="D798" s="15"/>
      <c r="E798" s="16"/>
      <c r="F798" s="15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</row>
    <row r="799" spans="1:49" ht="12.75" x14ac:dyDescent="0.2">
      <c r="A799" s="5"/>
      <c r="C799" s="15"/>
      <c r="D799" s="15"/>
      <c r="E799" s="16"/>
      <c r="F799" s="15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</row>
    <row r="800" spans="1:49" ht="12.75" x14ac:dyDescent="0.2">
      <c r="A800" s="5"/>
      <c r="C800" s="15"/>
      <c r="D800" s="15"/>
      <c r="E800" s="16"/>
      <c r="F800" s="15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</row>
    <row r="801" spans="1:49" ht="12.75" x14ac:dyDescent="0.2">
      <c r="A801" s="5"/>
      <c r="C801" s="15"/>
      <c r="D801" s="15"/>
      <c r="E801" s="16"/>
      <c r="F801" s="15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</row>
    <row r="802" spans="1:49" ht="12.75" x14ac:dyDescent="0.2">
      <c r="A802" s="5"/>
      <c r="C802" s="15"/>
      <c r="D802" s="15"/>
      <c r="E802" s="16"/>
      <c r="F802" s="15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</row>
    <row r="803" spans="1:49" ht="12.75" x14ac:dyDescent="0.2">
      <c r="A803" s="5"/>
      <c r="C803" s="15"/>
      <c r="D803" s="15"/>
      <c r="E803" s="16"/>
      <c r="F803" s="15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</row>
    <row r="804" spans="1:49" ht="12.75" x14ac:dyDescent="0.2">
      <c r="A804" s="5"/>
      <c r="C804" s="15"/>
      <c r="D804" s="15"/>
      <c r="E804" s="16"/>
      <c r="F804" s="15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</row>
    <row r="805" spans="1:49" ht="12.75" x14ac:dyDescent="0.2">
      <c r="A805" s="5"/>
      <c r="C805" s="15"/>
      <c r="D805" s="15"/>
      <c r="E805" s="16"/>
      <c r="F805" s="15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</row>
    <row r="806" spans="1:49" ht="12.75" x14ac:dyDescent="0.2">
      <c r="A806" s="5"/>
      <c r="C806" s="15"/>
      <c r="D806" s="15"/>
      <c r="E806" s="16"/>
      <c r="F806" s="15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</row>
    <row r="807" spans="1:49" ht="12.75" x14ac:dyDescent="0.2">
      <c r="A807" s="5"/>
      <c r="C807" s="15"/>
      <c r="D807" s="15"/>
      <c r="E807" s="16"/>
      <c r="F807" s="15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</row>
    <row r="808" spans="1:49" ht="12.75" x14ac:dyDescent="0.2">
      <c r="A808" s="5"/>
      <c r="C808" s="15"/>
      <c r="D808" s="15"/>
      <c r="E808" s="16"/>
      <c r="F808" s="15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</row>
    <row r="809" spans="1:49" ht="12.75" x14ac:dyDescent="0.2">
      <c r="A809" s="5"/>
      <c r="C809" s="15"/>
      <c r="D809" s="15"/>
      <c r="E809" s="16"/>
      <c r="F809" s="15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</row>
    <row r="810" spans="1:49" ht="12.75" x14ac:dyDescent="0.2">
      <c r="A810" s="5"/>
      <c r="C810" s="15"/>
      <c r="D810" s="15"/>
      <c r="E810" s="16"/>
      <c r="F810" s="15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</row>
    <row r="811" spans="1:49" ht="12.75" x14ac:dyDescent="0.2">
      <c r="A811" s="5"/>
      <c r="C811" s="15"/>
      <c r="D811" s="15"/>
      <c r="E811" s="16"/>
      <c r="F811" s="15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</row>
    <row r="812" spans="1:49" ht="12.75" x14ac:dyDescent="0.2">
      <c r="A812" s="5"/>
      <c r="C812" s="15"/>
      <c r="D812" s="15"/>
      <c r="E812" s="16"/>
      <c r="F812" s="15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</row>
    <row r="813" spans="1:49" ht="12.75" x14ac:dyDescent="0.2">
      <c r="A813" s="5"/>
      <c r="C813" s="15"/>
      <c r="D813" s="15"/>
      <c r="E813" s="16"/>
      <c r="F813" s="15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</row>
    <row r="814" spans="1:49" ht="12.75" x14ac:dyDescent="0.2">
      <c r="A814" s="5"/>
      <c r="C814" s="15"/>
      <c r="D814" s="15"/>
      <c r="E814" s="16"/>
      <c r="F814" s="15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</row>
    <row r="815" spans="1:49" ht="12.75" x14ac:dyDescent="0.2">
      <c r="A815" s="5"/>
      <c r="C815" s="15"/>
      <c r="D815" s="15"/>
      <c r="E815" s="16"/>
      <c r="F815" s="15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</row>
    <row r="816" spans="1:49" ht="12.75" x14ac:dyDescent="0.2">
      <c r="A816" s="5"/>
      <c r="C816" s="15"/>
      <c r="D816" s="15"/>
      <c r="E816" s="16"/>
      <c r="F816" s="15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</row>
    <row r="817" spans="1:49" ht="12.75" x14ac:dyDescent="0.2">
      <c r="A817" s="5"/>
      <c r="C817" s="15"/>
      <c r="D817" s="15"/>
      <c r="E817" s="16"/>
      <c r="F817" s="15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</row>
    <row r="818" spans="1:49" ht="12.75" x14ac:dyDescent="0.2">
      <c r="A818" s="5"/>
      <c r="C818" s="15"/>
      <c r="D818" s="15"/>
      <c r="E818" s="16"/>
      <c r="F818" s="15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</row>
    <row r="819" spans="1:49" ht="12.75" x14ac:dyDescent="0.2">
      <c r="A819" s="5"/>
      <c r="C819" s="15"/>
      <c r="D819" s="15"/>
      <c r="E819" s="16"/>
      <c r="F819" s="15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</row>
    <row r="820" spans="1:49" ht="12.75" x14ac:dyDescent="0.2">
      <c r="A820" s="5"/>
      <c r="C820" s="15"/>
      <c r="D820" s="15"/>
      <c r="E820" s="16"/>
      <c r="F820" s="15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</row>
    <row r="821" spans="1:49" ht="12.75" x14ac:dyDescent="0.2">
      <c r="A821" s="5"/>
      <c r="C821" s="15"/>
      <c r="D821" s="15"/>
      <c r="E821" s="16"/>
      <c r="F821" s="15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</row>
    <row r="822" spans="1:49" ht="12.75" x14ac:dyDescent="0.2">
      <c r="A822" s="5"/>
      <c r="C822" s="15"/>
      <c r="D822" s="15"/>
      <c r="E822" s="16"/>
      <c r="F822" s="15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</row>
    <row r="823" spans="1:49" ht="12.75" x14ac:dyDescent="0.2">
      <c r="A823" s="5"/>
      <c r="C823" s="15"/>
      <c r="D823" s="15"/>
      <c r="E823" s="16"/>
      <c r="F823" s="15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</row>
    <row r="824" spans="1:49" ht="12.75" x14ac:dyDescent="0.2">
      <c r="A824" s="5"/>
      <c r="C824" s="15"/>
      <c r="D824" s="15"/>
      <c r="E824" s="16"/>
      <c r="F824" s="15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</row>
    <row r="825" spans="1:49" ht="12.75" x14ac:dyDescent="0.2">
      <c r="A825" s="5"/>
      <c r="C825" s="15"/>
      <c r="D825" s="15"/>
      <c r="E825" s="16"/>
      <c r="F825" s="15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</row>
    <row r="826" spans="1:49" ht="12.75" x14ac:dyDescent="0.2">
      <c r="A826" s="5"/>
      <c r="C826" s="15"/>
      <c r="D826" s="15"/>
      <c r="E826" s="16"/>
      <c r="F826" s="15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</row>
    <row r="827" spans="1:49" ht="12.75" x14ac:dyDescent="0.2">
      <c r="A827" s="5"/>
      <c r="C827" s="15"/>
      <c r="D827" s="15"/>
      <c r="E827" s="16"/>
      <c r="F827" s="15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</row>
    <row r="828" spans="1:49" ht="12.75" x14ac:dyDescent="0.2">
      <c r="A828" s="5"/>
      <c r="C828" s="15"/>
      <c r="D828" s="15"/>
      <c r="E828" s="16"/>
      <c r="F828" s="15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</row>
    <row r="829" spans="1:49" ht="12.75" x14ac:dyDescent="0.2">
      <c r="A829" s="5"/>
      <c r="C829" s="15"/>
      <c r="D829" s="15"/>
      <c r="E829" s="16"/>
      <c r="F829" s="15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</row>
    <row r="830" spans="1:49" ht="12.75" x14ac:dyDescent="0.2">
      <c r="A830" s="5"/>
      <c r="C830" s="15"/>
      <c r="D830" s="15"/>
      <c r="E830" s="16"/>
      <c r="F830" s="15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</row>
    <row r="831" spans="1:49" ht="12.75" x14ac:dyDescent="0.2">
      <c r="A831" s="5"/>
      <c r="C831" s="15"/>
      <c r="D831" s="15"/>
      <c r="E831" s="16"/>
      <c r="F831" s="15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</row>
    <row r="832" spans="1:49" ht="12.75" x14ac:dyDescent="0.2">
      <c r="A832" s="5"/>
      <c r="C832" s="15"/>
      <c r="D832" s="15"/>
      <c r="E832" s="16"/>
      <c r="F832" s="15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</row>
    <row r="833" spans="1:49" ht="12.75" x14ac:dyDescent="0.2">
      <c r="A833" s="5"/>
      <c r="C833" s="15"/>
      <c r="D833" s="15"/>
      <c r="E833" s="16"/>
      <c r="F833" s="15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</row>
    <row r="834" spans="1:49" ht="12.75" x14ac:dyDescent="0.2">
      <c r="A834" s="5"/>
      <c r="C834" s="15"/>
      <c r="D834" s="15"/>
      <c r="E834" s="16"/>
      <c r="F834" s="15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</row>
    <row r="835" spans="1:49" ht="12.75" x14ac:dyDescent="0.2">
      <c r="A835" s="5"/>
      <c r="C835" s="15"/>
      <c r="D835" s="15"/>
      <c r="E835" s="16"/>
      <c r="F835" s="15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</row>
    <row r="836" spans="1:49" ht="12.75" x14ac:dyDescent="0.2">
      <c r="A836" s="5"/>
      <c r="C836" s="15"/>
      <c r="D836" s="15"/>
      <c r="E836" s="16"/>
      <c r="F836" s="15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</row>
    <row r="837" spans="1:49" ht="12.75" x14ac:dyDescent="0.2">
      <c r="A837" s="5"/>
      <c r="C837" s="15"/>
      <c r="D837" s="15"/>
      <c r="E837" s="16"/>
      <c r="F837" s="15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</row>
    <row r="838" spans="1:49" ht="12.75" x14ac:dyDescent="0.2">
      <c r="A838" s="5"/>
      <c r="C838" s="15"/>
      <c r="D838" s="15"/>
      <c r="E838" s="16"/>
      <c r="F838" s="15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</row>
    <row r="839" spans="1:49" ht="12.75" x14ac:dyDescent="0.2">
      <c r="A839" s="5"/>
      <c r="C839" s="15"/>
      <c r="D839" s="15"/>
      <c r="E839" s="16"/>
      <c r="F839" s="15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</row>
    <row r="840" spans="1:49" ht="12.75" x14ac:dyDescent="0.2">
      <c r="A840" s="5"/>
      <c r="C840" s="15"/>
      <c r="D840" s="15"/>
      <c r="E840" s="16"/>
      <c r="F840" s="15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</row>
    <row r="841" spans="1:49" ht="12.75" x14ac:dyDescent="0.2">
      <c r="A841" s="5"/>
      <c r="C841" s="15"/>
      <c r="D841" s="15"/>
      <c r="E841" s="16"/>
      <c r="F841" s="15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</row>
    <row r="842" spans="1:49" ht="12.75" x14ac:dyDescent="0.2">
      <c r="A842" s="5"/>
      <c r="C842" s="15"/>
      <c r="D842" s="15"/>
      <c r="E842" s="16"/>
      <c r="F842" s="15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</row>
    <row r="843" spans="1:49" ht="12.75" x14ac:dyDescent="0.2">
      <c r="A843" s="5"/>
      <c r="C843" s="15"/>
      <c r="D843" s="15"/>
      <c r="E843" s="16"/>
      <c r="F843" s="15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</row>
    <row r="844" spans="1:49" ht="12.75" x14ac:dyDescent="0.2">
      <c r="A844" s="5"/>
      <c r="C844" s="15"/>
      <c r="D844" s="15"/>
      <c r="E844" s="16"/>
      <c r="F844" s="15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</row>
    <row r="845" spans="1:49" ht="12.75" x14ac:dyDescent="0.2">
      <c r="A845" s="5"/>
      <c r="C845" s="15"/>
      <c r="D845" s="15"/>
      <c r="E845" s="16"/>
      <c r="F845" s="15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</row>
    <row r="846" spans="1:49" ht="12.75" x14ac:dyDescent="0.2">
      <c r="A846" s="5"/>
      <c r="C846" s="15"/>
      <c r="D846" s="15"/>
      <c r="E846" s="16"/>
      <c r="F846" s="15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</row>
    <row r="847" spans="1:49" ht="12.75" x14ac:dyDescent="0.2">
      <c r="A847" s="5"/>
      <c r="C847" s="15"/>
      <c r="D847" s="15"/>
      <c r="E847" s="16"/>
      <c r="F847" s="15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</row>
    <row r="848" spans="1:49" ht="12.75" x14ac:dyDescent="0.2">
      <c r="A848" s="5"/>
      <c r="C848" s="15"/>
      <c r="D848" s="15"/>
      <c r="E848" s="16"/>
      <c r="F848" s="15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</row>
    <row r="849" spans="1:49" ht="12.75" x14ac:dyDescent="0.2">
      <c r="A849" s="5"/>
      <c r="C849" s="15"/>
      <c r="D849" s="15"/>
      <c r="E849" s="16"/>
      <c r="F849" s="15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</row>
    <row r="850" spans="1:49" ht="12.75" x14ac:dyDescent="0.2">
      <c r="A850" s="5"/>
      <c r="C850" s="15"/>
      <c r="D850" s="15"/>
      <c r="E850" s="16"/>
      <c r="F850" s="15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</row>
    <row r="851" spans="1:49" ht="12.75" x14ac:dyDescent="0.2">
      <c r="A851" s="5"/>
      <c r="C851" s="15"/>
      <c r="D851" s="15"/>
      <c r="E851" s="16"/>
      <c r="F851" s="15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</row>
    <row r="852" spans="1:49" ht="12.75" x14ac:dyDescent="0.2">
      <c r="A852" s="5"/>
      <c r="C852" s="15"/>
      <c r="D852" s="15"/>
      <c r="E852" s="16"/>
      <c r="F852" s="15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</row>
    <row r="853" spans="1:49" ht="12.75" x14ac:dyDescent="0.2">
      <c r="A853" s="5"/>
      <c r="C853" s="15"/>
      <c r="D853" s="15"/>
      <c r="E853" s="16"/>
      <c r="F853" s="15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</row>
    <row r="854" spans="1:49" ht="12.75" x14ac:dyDescent="0.2">
      <c r="A854" s="5"/>
      <c r="C854" s="15"/>
      <c r="D854" s="15"/>
      <c r="E854" s="16"/>
      <c r="F854" s="15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</row>
    <row r="855" spans="1:49" ht="12.75" x14ac:dyDescent="0.2">
      <c r="A855" s="5"/>
      <c r="C855" s="15"/>
      <c r="D855" s="15"/>
      <c r="E855" s="16"/>
      <c r="F855" s="15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</row>
    <row r="856" spans="1:49" ht="12.75" x14ac:dyDescent="0.2">
      <c r="A856" s="5"/>
      <c r="C856" s="15"/>
      <c r="D856" s="15"/>
      <c r="E856" s="16"/>
      <c r="F856" s="15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</row>
    <row r="857" spans="1:49" ht="12.75" x14ac:dyDescent="0.2">
      <c r="A857" s="5"/>
      <c r="C857" s="15"/>
      <c r="D857" s="15"/>
      <c r="E857" s="16"/>
      <c r="F857" s="15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</row>
    <row r="858" spans="1:49" ht="12.75" x14ac:dyDescent="0.2">
      <c r="A858" s="5"/>
      <c r="C858" s="15"/>
      <c r="D858" s="15"/>
      <c r="E858" s="16"/>
      <c r="F858" s="15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</row>
    <row r="859" spans="1:49" ht="12.75" x14ac:dyDescent="0.2">
      <c r="A859" s="5"/>
      <c r="C859" s="15"/>
      <c r="D859" s="15"/>
      <c r="E859" s="16"/>
      <c r="F859" s="15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</row>
    <row r="860" spans="1:49" ht="12.75" x14ac:dyDescent="0.2">
      <c r="A860" s="5"/>
      <c r="C860" s="15"/>
      <c r="D860" s="15"/>
      <c r="E860" s="16"/>
      <c r="F860" s="15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</row>
    <row r="861" spans="1:49" ht="12.75" x14ac:dyDescent="0.2">
      <c r="A861" s="5"/>
      <c r="C861" s="15"/>
      <c r="D861" s="15"/>
      <c r="E861" s="16"/>
      <c r="F861" s="15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</row>
    <row r="862" spans="1:49" ht="12.75" x14ac:dyDescent="0.2">
      <c r="A862" s="5"/>
      <c r="C862" s="15"/>
      <c r="D862" s="15"/>
      <c r="E862" s="16"/>
      <c r="F862" s="15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</row>
    <row r="863" spans="1:49" ht="12.75" x14ac:dyDescent="0.2">
      <c r="A863" s="5"/>
      <c r="C863" s="15"/>
      <c r="D863" s="15"/>
      <c r="E863" s="16"/>
      <c r="F863" s="15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</row>
    <row r="864" spans="1:49" ht="12.75" x14ac:dyDescent="0.2">
      <c r="A864" s="5"/>
      <c r="C864" s="15"/>
      <c r="D864" s="15"/>
      <c r="E864" s="16"/>
      <c r="F864" s="15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</row>
    <row r="865" spans="1:49" ht="12.75" x14ac:dyDescent="0.2">
      <c r="A865" s="5"/>
      <c r="C865" s="15"/>
      <c r="D865" s="15"/>
      <c r="E865" s="16"/>
      <c r="F865" s="15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</row>
    <row r="866" spans="1:49" ht="12.75" x14ac:dyDescent="0.2">
      <c r="A866" s="5"/>
      <c r="C866" s="15"/>
      <c r="D866" s="15"/>
      <c r="E866" s="16"/>
      <c r="F866" s="15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</row>
    <row r="867" spans="1:49" ht="12.75" x14ac:dyDescent="0.2">
      <c r="A867" s="5"/>
      <c r="C867" s="15"/>
      <c r="D867" s="15"/>
      <c r="E867" s="16"/>
      <c r="F867" s="15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</row>
    <row r="868" spans="1:49" ht="12.75" x14ac:dyDescent="0.2">
      <c r="A868" s="5"/>
      <c r="C868" s="15"/>
      <c r="D868" s="15"/>
      <c r="E868" s="16"/>
      <c r="F868" s="15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</row>
    <row r="869" spans="1:49" ht="12.75" x14ac:dyDescent="0.2">
      <c r="A869" s="5"/>
      <c r="C869" s="15"/>
      <c r="D869" s="15"/>
      <c r="E869" s="16"/>
      <c r="F869" s="15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</row>
    <row r="870" spans="1:49" ht="12.75" x14ac:dyDescent="0.2">
      <c r="A870" s="5"/>
      <c r="C870" s="15"/>
      <c r="D870" s="15"/>
      <c r="E870" s="16"/>
      <c r="F870" s="15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</row>
    <row r="871" spans="1:49" ht="12.75" x14ac:dyDescent="0.2">
      <c r="A871" s="5"/>
      <c r="C871" s="15"/>
      <c r="D871" s="15"/>
      <c r="E871" s="16"/>
      <c r="F871" s="15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</row>
    <row r="872" spans="1:49" ht="12.75" x14ac:dyDescent="0.2">
      <c r="A872" s="5"/>
      <c r="C872" s="15"/>
      <c r="D872" s="15"/>
      <c r="E872" s="16"/>
      <c r="F872" s="15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</row>
    <row r="873" spans="1:49" ht="12.75" x14ac:dyDescent="0.2">
      <c r="A873" s="5"/>
      <c r="C873" s="15"/>
      <c r="D873" s="15"/>
      <c r="E873" s="16"/>
      <c r="F873" s="15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</row>
    <row r="874" spans="1:49" ht="12.75" x14ac:dyDescent="0.2">
      <c r="A874" s="5"/>
      <c r="C874" s="15"/>
      <c r="D874" s="15"/>
      <c r="E874" s="16"/>
      <c r="F874" s="15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</row>
    <row r="875" spans="1:49" ht="12.75" x14ac:dyDescent="0.2">
      <c r="A875" s="5"/>
      <c r="C875" s="15"/>
      <c r="D875" s="15"/>
      <c r="E875" s="16"/>
      <c r="F875" s="15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</row>
    <row r="876" spans="1:49" ht="12.75" x14ac:dyDescent="0.2">
      <c r="A876" s="5"/>
      <c r="C876" s="15"/>
      <c r="D876" s="15"/>
      <c r="E876" s="16"/>
      <c r="F876" s="15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</row>
    <row r="877" spans="1:49" ht="12.75" x14ac:dyDescent="0.2">
      <c r="A877" s="5"/>
      <c r="C877" s="15"/>
      <c r="D877" s="15"/>
      <c r="E877" s="16"/>
      <c r="F877" s="15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</row>
    <row r="878" spans="1:49" ht="12.75" x14ac:dyDescent="0.2">
      <c r="A878" s="5"/>
      <c r="C878" s="15"/>
      <c r="D878" s="15"/>
      <c r="E878" s="16"/>
      <c r="F878" s="15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</row>
    <row r="879" spans="1:49" ht="12.75" x14ac:dyDescent="0.2">
      <c r="A879" s="5"/>
      <c r="C879" s="15"/>
      <c r="D879" s="15"/>
      <c r="E879" s="16"/>
      <c r="F879" s="15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</row>
    <row r="880" spans="1:49" ht="12.75" x14ac:dyDescent="0.2">
      <c r="A880" s="5"/>
      <c r="C880" s="15"/>
      <c r="D880" s="15"/>
      <c r="E880" s="16"/>
      <c r="F880" s="15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</row>
    <row r="881" spans="1:49" ht="12.75" x14ac:dyDescent="0.2">
      <c r="A881" s="5"/>
      <c r="C881" s="15"/>
      <c r="D881" s="15"/>
      <c r="E881" s="16"/>
      <c r="F881" s="15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</row>
    <row r="882" spans="1:49" ht="12.75" x14ac:dyDescent="0.2">
      <c r="A882" s="5"/>
      <c r="C882" s="15"/>
      <c r="D882" s="15"/>
      <c r="E882" s="16"/>
      <c r="F882" s="15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</row>
    <row r="883" spans="1:49" ht="12.75" x14ac:dyDescent="0.2">
      <c r="A883" s="5"/>
      <c r="C883" s="15"/>
      <c r="D883" s="15"/>
      <c r="E883" s="16"/>
      <c r="F883" s="15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</row>
    <row r="884" spans="1:49" ht="12.75" x14ac:dyDescent="0.2">
      <c r="A884" s="5"/>
      <c r="C884" s="15"/>
      <c r="D884" s="15"/>
      <c r="E884" s="16"/>
      <c r="F884" s="15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</row>
    <row r="885" spans="1:49" ht="12.75" x14ac:dyDescent="0.2">
      <c r="A885" s="5"/>
      <c r="C885" s="15"/>
      <c r="D885" s="15"/>
      <c r="E885" s="16"/>
      <c r="F885" s="15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</row>
    <row r="886" spans="1:49" ht="12.75" x14ac:dyDescent="0.2">
      <c r="A886" s="5"/>
      <c r="C886" s="15"/>
      <c r="D886" s="15"/>
      <c r="E886" s="16"/>
      <c r="F886" s="15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</row>
    <row r="887" spans="1:49" ht="12.75" x14ac:dyDescent="0.2">
      <c r="A887" s="5"/>
      <c r="C887" s="15"/>
      <c r="D887" s="15"/>
      <c r="E887" s="16"/>
      <c r="F887" s="15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</row>
    <row r="888" spans="1:49" ht="12.75" x14ac:dyDescent="0.2">
      <c r="A888" s="5"/>
      <c r="C888" s="15"/>
      <c r="D888" s="15"/>
      <c r="E888" s="16"/>
      <c r="F888" s="15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</row>
    <row r="889" spans="1:49" ht="12.75" x14ac:dyDescent="0.2">
      <c r="A889" s="5"/>
      <c r="C889" s="15"/>
      <c r="D889" s="15"/>
      <c r="E889" s="16"/>
      <c r="F889" s="15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</row>
    <row r="890" spans="1:49" ht="12.75" x14ac:dyDescent="0.2">
      <c r="A890" s="5"/>
      <c r="C890" s="15"/>
      <c r="D890" s="15"/>
      <c r="E890" s="16"/>
      <c r="F890" s="15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</row>
    <row r="891" spans="1:49" ht="12.75" x14ac:dyDescent="0.2">
      <c r="A891" s="5"/>
      <c r="C891" s="15"/>
      <c r="D891" s="15"/>
      <c r="E891" s="16"/>
      <c r="F891" s="15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</row>
    <row r="892" spans="1:49" ht="12.75" x14ac:dyDescent="0.2">
      <c r="A892" s="5"/>
      <c r="C892" s="15"/>
      <c r="D892" s="15"/>
      <c r="E892" s="16"/>
      <c r="F892" s="15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</row>
    <row r="893" spans="1:49" ht="12.75" x14ac:dyDescent="0.2">
      <c r="A893" s="5"/>
      <c r="C893" s="15"/>
      <c r="D893" s="15"/>
      <c r="E893" s="16"/>
      <c r="F893" s="15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</row>
    <row r="894" spans="1:49" ht="12.75" x14ac:dyDescent="0.2">
      <c r="A894" s="5"/>
      <c r="C894" s="15"/>
      <c r="D894" s="15"/>
      <c r="E894" s="16"/>
      <c r="F894" s="15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</row>
    <row r="895" spans="1:49" ht="12.75" x14ac:dyDescent="0.2">
      <c r="A895" s="5"/>
      <c r="C895" s="15"/>
      <c r="D895" s="15"/>
      <c r="E895" s="16"/>
      <c r="F895" s="15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</row>
    <row r="896" spans="1:49" ht="12.75" x14ac:dyDescent="0.2">
      <c r="A896" s="5"/>
      <c r="C896" s="15"/>
      <c r="D896" s="15"/>
      <c r="E896" s="16"/>
      <c r="F896" s="15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</row>
    <row r="897" spans="1:49" ht="12.75" x14ac:dyDescent="0.2">
      <c r="A897" s="5"/>
      <c r="C897" s="15"/>
      <c r="D897" s="15"/>
      <c r="E897" s="16"/>
      <c r="F897" s="15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</row>
    <row r="898" spans="1:49" ht="12.75" x14ac:dyDescent="0.2">
      <c r="A898" s="5"/>
      <c r="C898" s="15"/>
      <c r="D898" s="15"/>
      <c r="E898" s="16"/>
      <c r="F898" s="15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</row>
    <row r="899" spans="1:49" ht="12.75" x14ac:dyDescent="0.2">
      <c r="A899" s="5"/>
      <c r="C899" s="15"/>
      <c r="D899" s="15"/>
      <c r="E899" s="16"/>
      <c r="F899" s="15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</row>
    <row r="900" spans="1:49" ht="12.75" x14ac:dyDescent="0.2">
      <c r="A900" s="5"/>
      <c r="C900" s="15"/>
      <c r="D900" s="15"/>
      <c r="E900" s="16"/>
      <c r="F900" s="15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</row>
    <row r="901" spans="1:49" ht="12.75" x14ac:dyDescent="0.2">
      <c r="A901" s="5"/>
      <c r="C901" s="15"/>
      <c r="D901" s="15"/>
      <c r="E901" s="16"/>
      <c r="F901" s="15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</row>
    <row r="902" spans="1:49" ht="12.75" x14ac:dyDescent="0.2">
      <c r="A902" s="5"/>
      <c r="C902" s="15"/>
      <c r="D902" s="15"/>
      <c r="E902" s="16"/>
      <c r="F902" s="15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</row>
    <row r="903" spans="1:49" ht="12.75" x14ac:dyDescent="0.2">
      <c r="A903" s="5"/>
      <c r="C903" s="15"/>
      <c r="D903" s="15"/>
      <c r="E903" s="16"/>
      <c r="F903" s="15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</row>
    <row r="904" spans="1:49" ht="12.75" x14ac:dyDescent="0.2">
      <c r="A904" s="5"/>
      <c r="C904" s="15"/>
      <c r="D904" s="15"/>
      <c r="E904" s="16"/>
      <c r="F904" s="15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</row>
    <row r="905" spans="1:49" ht="12.75" x14ac:dyDescent="0.2">
      <c r="A905" s="5"/>
      <c r="C905" s="15"/>
      <c r="D905" s="15"/>
      <c r="E905" s="16"/>
      <c r="F905" s="15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</row>
    <row r="906" spans="1:49" ht="12.75" x14ac:dyDescent="0.2">
      <c r="A906" s="5"/>
      <c r="C906" s="15"/>
      <c r="D906" s="15"/>
      <c r="E906" s="16"/>
      <c r="F906" s="15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</row>
    <row r="907" spans="1:49" ht="12.75" x14ac:dyDescent="0.2">
      <c r="A907" s="5"/>
      <c r="C907" s="15"/>
      <c r="D907" s="15"/>
      <c r="E907" s="16"/>
      <c r="F907" s="15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</row>
    <row r="908" spans="1:49" ht="12.75" x14ac:dyDescent="0.2">
      <c r="A908" s="5"/>
      <c r="C908" s="15"/>
      <c r="D908" s="15"/>
      <c r="E908" s="16"/>
      <c r="F908" s="15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</row>
    <row r="909" spans="1:49" ht="12.75" x14ac:dyDescent="0.2">
      <c r="A909" s="5"/>
      <c r="C909" s="15"/>
      <c r="D909" s="15"/>
      <c r="E909" s="16"/>
      <c r="F909" s="15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</row>
    <row r="910" spans="1:49" ht="12.75" x14ac:dyDescent="0.2">
      <c r="A910" s="5"/>
      <c r="C910" s="15"/>
      <c r="D910" s="15"/>
      <c r="E910" s="16"/>
      <c r="F910" s="15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</row>
    <row r="911" spans="1:49" ht="12.75" x14ac:dyDescent="0.2">
      <c r="A911" s="5"/>
      <c r="C911" s="15"/>
      <c r="D911" s="15"/>
      <c r="E911" s="16"/>
      <c r="F911" s="15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</row>
    <row r="912" spans="1:49" ht="12.75" x14ac:dyDescent="0.2">
      <c r="A912" s="5"/>
      <c r="C912" s="15"/>
      <c r="D912" s="15"/>
      <c r="E912" s="16"/>
      <c r="F912" s="15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</row>
    <row r="913" spans="1:49" ht="12.75" x14ac:dyDescent="0.2">
      <c r="A913" s="5"/>
      <c r="C913" s="15"/>
      <c r="D913" s="15"/>
      <c r="E913" s="16"/>
      <c r="F913" s="15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</row>
    <row r="914" spans="1:49" ht="12.75" x14ac:dyDescent="0.2">
      <c r="A914" s="5"/>
      <c r="C914" s="15"/>
      <c r="D914" s="15"/>
      <c r="E914" s="16"/>
      <c r="F914" s="15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</row>
    <row r="915" spans="1:49" ht="12.75" x14ac:dyDescent="0.2">
      <c r="A915" s="5"/>
      <c r="C915" s="15"/>
      <c r="D915" s="15"/>
      <c r="E915" s="16"/>
      <c r="F915" s="15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</row>
    <row r="916" spans="1:49" ht="12.75" x14ac:dyDescent="0.2">
      <c r="A916" s="5"/>
      <c r="C916" s="15"/>
      <c r="D916" s="15"/>
      <c r="E916" s="16"/>
      <c r="F916" s="15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</row>
    <row r="917" spans="1:49" ht="12.75" x14ac:dyDescent="0.2">
      <c r="A917" s="5"/>
      <c r="C917" s="15"/>
      <c r="D917" s="15"/>
      <c r="E917" s="16"/>
      <c r="F917" s="15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</row>
    <row r="918" spans="1:49" ht="12.75" x14ac:dyDescent="0.2">
      <c r="A918" s="5"/>
      <c r="C918" s="15"/>
      <c r="D918" s="15"/>
      <c r="E918" s="16"/>
      <c r="F918" s="15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</row>
    <row r="919" spans="1:49" ht="12.75" x14ac:dyDescent="0.2">
      <c r="A919" s="5"/>
      <c r="C919" s="15"/>
      <c r="D919" s="15"/>
      <c r="E919" s="16"/>
      <c r="F919" s="15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</row>
    <row r="920" spans="1:49" ht="12.75" x14ac:dyDescent="0.2">
      <c r="A920" s="5"/>
      <c r="C920" s="15"/>
      <c r="D920" s="15"/>
      <c r="E920" s="16"/>
      <c r="F920" s="1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</row>
    <row r="921" spans="1:49" ht="12.75" x14ac:dyDescent="0.2">
      <c r="A921" s="5"/>
      <c r="C921" s="15"/>
      <c r="D921" s="15"/>
      <c r="E921" s="16"/>
      <c r="F921" s="1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</row>
    <row r="922" spans="1:49" ht="12.75" x14ac:dyDescent="0.2">
      <c r="A922" s="5"/>
      <c r="C922" s="15"/>
      <c r="D922" s="15"/>
      <c r="E922" s="16"/>
      <c r="F922" s="1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</row>
    <row r="923" spans="1:49" ht="12.75" x14ac:dyDescent="0.2">
      <c r="A923" s="5"/>
      <c r="C923" s="15"/>
      <c r="D923" s="15"/>
      <c r="E923" s="16"/>
      <c r="F923" s="1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</row>
    <row r="924" spans="1:49" ht="12.75" x14ac:dyDescent="0.2">
      <c r="A924" s="5"/>
      <c r="C924" s="15"/>
      <c r="D924" s="15"/>
      <c r="E924" s="16"/>
      <c r="F924" s="1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</row>
    <row r="925" spans="1:49" ht="12.75" x14ac:dyDescent="0.2">
      <c r="A925" s="5"/>
      <c r="C925" s="15"/>
      <c r="D925" s="15"/>
      <c r="E925" s="16"/>
      <c r="F925" s="15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</row>
    <row r="926" spans="1:49" ht="12.75" x14ac:dyDescent="0.2">
      <c r="A926" s="5"/>
      <c r="C926" s="15"/>
      <c r="D926" s="15"/>
      <c r="E926" s="16"/>
      <c r="F926" s="15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</row>
    <row r="927" spans="1:49" ht="12.75" x14ac:dyDescent="0.2">
      <c r="A927" s="5"/>
      <c r="C927" s="15"/>
      <c r="D927" s="15"/>
      <c r="E927" s="16"/>
      <c r="F927" s="15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</row>
    <row r="928" spans="1:49" ht="12.75" x14ac:dyDescent="0.2">
      <c r="A928" s="5"/>
      <c r="C928" s="15"/>
      <c r="D928" s="15"/>
      <c r="E928" s="16"/>
      <c r="F928" s="15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</row>
    <row r="929" spans="1:49" ht="12.75" x14ac:dyDescent="0.2">
      <c r="A929" s="5"/>
      <c r="C929" s="15"/>
      <c r="D929" s="15"/>
      <c r="E929" s="16"/>
      <c r="F929" s="15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</row>
    <row r="930" spans="1:49" ht="12.75" x14ac:dyDescent="0.2">
      <c r="A930" s="5"/>
      <c r="C930" s="15"/>
      <c r="D930" s="15"/>
      <c r="E930" s="16"/>
      <c r="F930" s="15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</row>
    <row r="931" spans="1:49" ht="12.75" x14ac:dyDescent="0.2">
      <c r="A931" s="5"/>
      <c r="C931" s="15"/>
      <c r="D931" s="15"/>
      <c r="E931" s="16"/>
      <c r="F931" s="15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</row>
    <row r="932" spans="1:49" ht="12.75" x14ac:dyDescent="0.2">
      <c r="A932" s="5"/>
      <c r="C932" s="15"/>
      <c r="D932" s="15"/>
      <c r="E932" s="16"/>
      <c r="F932" s="15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</row>
    <row r="933" spans="1:49" ht="12.75" x14ac:dyDescent="0.2">
      <c r="A933" s="5"/>
      <c r="C933" s="15"/>
      <c r="D933" s="15"/>
      <c r="E933" s="16"/>
      <c r="F933" s="15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</row>
    <row r="934" spans="1:49" ht="12.75" x14ac:dyDescent="0.2">
      <c r="A934" s="5"/>
      <c r="C934" s="15"/>
      <c r="D934" s="15"/>
      <c r="E934" s="16"/>
      <c r="F934" s="15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</row>
    <row r="935" spans="1:49" ht="12.75" x14ac:dyDescent="0.2">
      <c r="A935" s="5"/>
      <c r="C935" s="15"/>
      <c r="D935" s="15"/>
      <c r="E935" s="16"/>
      <c r="F935" s="15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</row>
    <row r="936" spans="1:49" ht="12.75" x14ac:dyDescent="0.2">
      <c r="A936" s="5"/>
      <c r="C936" s="15"/>
      <c r="D936" s="15"/>
      <c r="E936" s="16"/>
      <c r="F936" s="15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</row>
    <row r="937" spans="1:49" ht="12.75" x14ac:dyDescent="0.2">
      <c r="A937" s="5"/>
      <c r="C937" s="15"/>
      <c r="D937" s="15"/>
      <c r="E937" s="16"/>
      <c r="F937" s="15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</row>
    <row r="938" spans="1:49" ht="12.75" x14ac:dyDescent="0.2">
      <c r="A938" s="5"/>
      <c r="C938" s="15"/>
      <c r="D938" s="15"/>
      <c r="E938" s="16"/>
      <c r="F938" s="15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</row>
    <row r="939" spans="1:49" ht="12.75" x14ac:dyDescent="0.2">
      <c r="A939" s="5"/>
      <c r="C939" s="15"/>
      <c r="D939" s="15"/>
      <c r="E939" s="16"/>
      <c r="F939" s="15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</row>
    <row r="940" spans="1:49" ht="12.75" x14ac:dyDescent="0.2">
      <c r="A940" s="5"/>
      <c r="C940" s="15"/>
      <c r="D940" s="15"/>
      <c r="E940" s="16"/>
      <c r="F940" s="15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</row>
    <row r="941" spans="1:49" ht="12.75" x14ac:dyDescent="0.2">
      <c r="A941" s="5"/>
      <c r="C941" s="15"/>
      <c r="D941" s="15"/>
      <c r="E941" s="16"/>
      <c r="F941" s="15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</row>
    <row r="942" spans="1:49" ht="12.75" x14ac:dyDescent="0.2">
      <c r="A942" s="5"/>
      <c r="C942" s="15"/>
      <c r="D942" s="15"/>
      <c r="E942" s="16"/>
      <c r="F942" s="15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</row>
    <row r="943" spans="1:49" ht="12.75" x14ac:dyDescent="0.2">
      <c r="A943" s="5"/>
      <c r="C943" s="15"/>
      <c r="D943" s="15"/>
      <c r="E943" s="16"/>
      <c r="F943" s="15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</row>
    <row r="944" spans="1:49" ht="12.75" x14ac:dyDescent="0.2">
      <c r="A944" s="5"/>
      <c r="C944" s="15"/>
      <c r="D944" s="15"/>
      <c r="E944" s="16"/>
      <c r="F944" s="15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</row>
    <row r="945" spans="1:49" ht="12.75" x14ac:dyDescent="0.2">
      <c r="A945" s="5"/>
      <c r="C945" s="15"/>
      <c r="D945" s="15"/>
      <c r="E945" s="16"/>
      <c r="F945" s="15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</row>
    <row r="946" spans="1:49" ht="12.75" x14ac:dyDescent="0.2">
      <c r="A946" s="5"/>
      <c r="C946" s="15"/>
      <c r="D946" s="15"/>
      <c r="E946" s="16"/>
      <c r="F946" s="15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</row>
    <row r="947" spans="1:49" ht="12.75" x14ac:dyDescent="0.2">
      <c r="A947" s="5"/>
      <c r="C947" s="15"/>
      <c r="D947" s="15"/>
      <c r="E947" s="16"/>
      <c r="F947" s="15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</row>
    <row r="948" spans="1:49" ht="12.75" x14ac:dyDescent="0.2">
      <c r="A948" s="5"/>
      <c r="C948" s="15"/>
      <c r="D948" s="15"/>
      <c r="E948" s="16"/>
      <c r="F948" s="15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</row>
    <row r="949" spans="1:49" ht="12.75" x14ac:dyDescent="0.2">
      <c r="A949" s="5"/>
      <c r="C949" s="15"/>
      <c r="D949" s="15"/>
      <c r="E949" s="16"/>
      <c r="F949" s="15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</row>
    <row r="950" spans="1:49" ht="12.75" x14ac:dyDescent="0.2">
      <c r="A950" s="5"/>
      <c r="C950" s="15"/>
      <c r="D950" s="15"/>
      <c r="E950" s="16"/>
      <c r="F950" s="15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</row>
    <row r="951" spans="1:49" ht="12.75" x14ac:dyDescent="0.2">
      <c r="A951" s="5"/>
      <c r="C951" s="15"/>
      <c r="D951" s="15"/>
      <c r="E951" s="16"/>
      <c r="F951" s="15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</row>
    <row r="952" spans="1:49" ht="12.75" x14ac:dyDescent="0.2">
      <c r="A952" s="5"/>
      <c r="C952" s="15"/>
      <c r="D952" s="15"/>
      <c r="E952" s="16"/>
      <c r="F952" s="15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</row>
    <row r="953" spans="1:49" ht="12.75" x14ac:dyDescent="0.2">
      <c r="A953" s="5"/>
      <c r="C953" s="15"/>
      <c r="D953" s="15"/>
      <c r="E953" s="16"/>
      <c r="F953" s="15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</row>
    <row r="954" spans="1:49" ht="12.75" x14ac:dyDescent="0.2">
      <c r="A954" s="5"/>
      <c r="C954" s="15"/>
      <c r="D954" s="15"/>
      <c r="E954" s="16"/>
      <c r="F954" s="15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</row>
    <row r="955" spans="1:49" ht="12.75" x14ac:dyDescent="0.2">
      <c r="A955" s="5"/>
      <c r="C955" s="15"/>
      <c r="D955" s="15"/>
      <c r="E955" s="16"/>
      <c r="F955" s="15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</row>
    <row r="956" spans="1:49" ht="12.75" x14ac:dyDescent="0.2">
      <c r="A956" s="5"/>
      <c r="C956" s="15"/>
      <c r="D956" s="15"/>
      <c r="E956" s="16"/>
      <c r="F956" s="15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</row>
    <row r="957" spans="1:49" ht="12.75" x14ac:dyDescent="0.2">
      <c r="A957" s="5"/>
      <c r="C957" s="15"/>
      <c r="D957" s="15"/>
      <c r="E957" s="16"/>
      <c r="F957" s="15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</row>
    <row r="958" spans="1:49" ht="12.75" x14ac:dyDescent="0.2">
      <c r="A958" s="5"/>
      <c r="C958" s="15"/>
      <c r="D958" s="15"/>
      <c r="E958" s="16"/>
      <c r="F958" s="15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</row>
    <row r="959" spans="1:49" ht="12.75" x14ac:dyDescent="0.2">
      <c r="A959" s="5"/>
      <c r="C959" s="15"/>
      <c r="D959" s="15"/>
      <c r="E959" s="16"/>
      <c r="F959" s="15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</row>
    <row r="960" spans="1:49" ht="12.75" x14ac:dyDescent="0.2">
      <c r="A960" s="5"/>
      <c r="C960" s="15"/>
      <c r="D960" s="15"/>
      <c r="E960" s="16"/>
      <c r="F960" s="15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</row>
    <row r="961" spans="1:49" ht="12.75" x14ac:dyDescent="0.2">
      <c r="A961" s="5"/>
      <c r="C961" s="15"/>
      <c r="D961" s="15"/>
      <c r="E961" s="16"/>
      <c r="F961" s="15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</row>
    <row r="962" spans="1:49" ht="12.75" x14ac:dyDescent="0.2">
      <c r="A962" s="5"/>
      <c r="C962" s="15"/>
      <c r="D962" s="15"/>
      <c r="E962" s="16"/>
      <c r="F962" s="15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</row>
    <row r="963" spans="1:49" ht="12.75" x14ac:dyDescent="0.2">
      <c r="A963" s="5"/>
      <c r="C963" s="15"/>
      <c r="D963" s="15"/>
      <c r="E963" s="16"/>
      <c r="F963" s="15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</row>
    <row r="964" spans="1:49" ht="12.75" x14ac:dyDescent="0.2">
      <c r="A964" s="5"/>
      <c r="C964" s="15"/>
      <c r="D964" s="15"/>
      <c r="E964" s="16"/>
      <c r="F964" s="15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</row>
    <row r="965" spans="1:49" ht="12.75" x14ac:dyDescent="0.2">
      <c r="A965" s="5"/>
      <c r="C965" s="15"/>
      <c r="D965" s="15"/>
      <c r="E965" s="16"/>
      <c r="F965" s="15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</row>
    <row r="966" spans="1:49" ht="12.75" x14ac:dyDescent="0.2">
      <c r="A966" s="5"/>
      <c r="C966" s="15"/>
      <c r="D966" s="15"/>
      <c r="E966" s="16"/>
      <c r="F966" s="15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</row>
    <row r="967" spans="1:49" ht="12.75" x14ac:dyDescent="0.2">
      <c r="A967" s="5"/>
      <c r="C967" s="15"/>
      <c r="D967" s="15"/>
      <c r="E967" s="16"/>
      <c r="F967" s="15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</row>
    <row r="968" spans="1:49" ht="12.75" x14ac:dyDescent="0.2">
      <c r="A968" s="5"/>
      <c r="C968" s="15"/>
      <c r="D968" s="15"/>
      <c r="E968" s="16"/>
      <c r="F968" s="15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</row>
    <row r="969" spans="1:49" ht="12.75" x14ac:dyDescent="0.2">
      <c r="A969" s="5"/>
      <c r="C969" s="15"/>
      <c r="D969" s="15"/>
      <c r="E969" s="16"/>
      <c r="F969" s="15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</row>
    <row r="970" spans="1:49" ht="12.75" x14ac:dyDescent="0.2">
      <c r="A970" s="5"/>
      <c r="C970" s="15"/>
      <c r="D970" s="15"/>
      <c r="E970" s="16"/>
      <c r="F970" s="15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</row>
    <row r="971" spans="1:49" ht="12.75" x14ac:dyDescent="0.2">
      <c r="A971" s="5"/>
      <c r="C971" s="15"/>
      <c r="D971" s="15"/>
      <c r="E971" s="16"/>
      <c r="F971" s="15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</row>
    <row r="972" spans="1:49" ht="12.75" x14ac:dyDescent="0.2">
      <c r="A972" s="5"/>
      <c r="C972" s="15"/>
      <c r="D972" s="15"/>
      <c r="E972" s="16"/>
      <c r="F972" s="15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</row>
    <row r="973" spans="1:49" ht="12.75" x14ac:dyDescent="0.2">
      <c r="A973" s="5"/>
      <c r="C973" s="15"/>
      <c r="D973" s="15"/>
      <c r="E973" s="16"/>
      <c r="F973" s="15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</row>
    <row r="974" spans="1:49" ht="12.75" x14ac:dyDescent="0.2">
      <c r="A974" s="5"/>
      <c r="C974" s="15"/>
      <c r="D974" s="15"/>
      <c r="E974" s="16"/>
      <c r="F974" s="15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</row>
    <row r="975" spans="1:49" ht="12.75" x14ac:dyDescent="0.2">
      <c r="A975" s="5"/>
      <c r="C975" s="15"/>
      <c r="D975" s="15"/>
      <c r="E975" s="16"/>
      <c r="F975" s="15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</row>
    <row r="976" spans="1:49" ht="12.75" x14ac:dyDescent="0.2">
      <c r="A976" s="5"/>
      <c r="C976" s="15"/>
      <c r="D976" s="15"/>
      <c r="E976" s="16"/>
      <c r="F976" s="15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</row>
    <row r="977" spans="1:49" ht="12.75" x14ac:dyDescent="0.2">
      <c r="A977" s="5"/>
      <c r="C977" s="15"/>
      <c r="D977" s="15"/>
      <c r="E977" s="16"/>
      <c r="F977" s="15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</row>
    <row r="978" spans="1:49" ht="12.75" x14ac:dyDescent="0.2">
      <c r="A978" s="5"/>
      <c r="C978" s="15"/>
      <c r="D978" s="15"/>
      <c r="E978" s="16"/>
      <c r="F978" s="15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</row>
    <row r="979" spans="1:49" ht="12.75" x14ac:dyDescent="0.2">
      <c r="A979" s="5"/>
      <c r="C979" s="15"/>
      <c r="D979" s="15"/>
      <c r="E979" s="16"/>
      <c r="F979" s="15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</row>
    <row r="980" spans="1:49" ht="12.75" x14ac:dyDescent="0.2">
      <c r="A980" s="5"/>
      <c r="C980" s="15"/>
      <c r="D980" s="15"/>
      <c r="E980" s="16"/>
      <c r="F980" s="15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</row>
    <row r="981" spans="1:49" ht="12.75" x14ac:dyDescent="0.2">
      <c r="A981" s="5"/>
      <c r="C981" s="15"/>
      <c r="D981" s="15"/>
      <c r="E981" s="16"/>
      <c r="F981" s="15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</row>
    <row r="982" spans="1:49" ht="12.75" x14ac:dyDescent="0.2">
      <c r="A982" s="5"/>
      <c r="C982" s="15"/>
      <c r="D982" s="15"/>
      <c r="E982" s="16"/>
      <c r="F982" s="15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</row>
    <row r="983" spans="1:49" ht="12.75" x14ac:dyDescent="0.2">
      <c r="A983" s="5"/>
      <c r="C983" s="15"/>
      <c r="D983" s="15"/>
      <c r="E983" s="16"/>
      <c r="F983" s="15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</row>
    <row r="984" spans="1:49" ht="12.75" x14ac:dyDescent="0.2">
      <c r="A984" s="5"/>
      <c r="C984" s="15"/>
      <c r="D984" s="15"/>
      <c r="E984" s="16"/>
      <c r="F984" s="15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</row>
    <row r="985" spans="1:49" ht="12.75" x14ac:dyDescent="0.2">
      <c r="A985" s="5"/>
      <c r="C985" s="15"/>
      <c r="D985" s="15"/>
      <c r="E985" s="16"/>
      <c r="F985" s="15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</row>
    <row r="986" spans="1:49" ht="12.75" x14ac:dyDescent="0.2">
      <c r="A986" s="5"/>
      <c r="C986" s="15"/>
      <c r="D986" s="15"/>
      <c r="E986" s="16"/>
      <c r="F986" s="15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</row>
    <row r="987" spans="1:49" ht="12.75" x14ac:dyDescent="0.2">
      <c r="A987" s="5"/>
      <c r="C987" s="15"/>
      <c r="D987" s="15"/>
      <c r="E987" s="16"/>
      <c r="F987" s="15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</row>
    <row r="988" spans="1:49" ht="12.75" x14ac:dyDescent="0.2">
      <c r="A988" s="5"/>
      <c r="C988" s="15"/>
      <c r="D988" s="15"/>
      <c r="E988" s="16"/>
      <c r="F988" s="15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</row>
    <row r="989" spans="1:49" ht="12.75" x14ac:dyDescent="0.2">
      <c r="A989" s="5"/>
      <c r="C989" s="15"/>
      <c r="D989" s="15"/>
      <c r="E989" s="16"/>
      <c r="F989" s="15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</row>
    <row r="990" spans="1:49" ht="12.75" x14ac:dyDescent="0.2">
      <c r="A990" s="5"/>
      <c r="C990" s="15"/>
      <c r="D990" s="15"/>
      <c r="E990" s="16"/>
      <c r="F990" s="15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</row>
    <row r="991" spans="1:49" ht="12.75" x14ac:dyDescent="0.2">
      <c r="A991" s="5"/>
      <c r="C991" s="15"/>
      <c r="D991" s="15"/>
      <c r="E991" s="16"/>
      <c r="F991" s="15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</row>
    <row r="992" spans="1:49" ht="12.75" x14ac:dyDescent="0.2">
      <c r="A992" s="5"/>
      <c r="C992" s="15"/>
      <c r="D992" s="15"/>
      <c r="E992" s="16"/>
      <c r="F992" s="15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</row>
    <row r="993" spans="1:49" ht="12.75" x14ac:dyDescent="0.2">
      <c r="A993" s="5"/>
      <c r="C993" s="15"/>
      <c r="D993" s="15"/>
      <c r="E993" s="16"/>
      <c r="F993" s="15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</row>
    <row r="994" spans="1:49" ht="12.75" x14ac:dyDescent="0.2">
      <c r="A994" s="5"/>
      <c r="C994" s="15"/>
      <c r="D994" s="15"/>
      <c r="E994" s="16"/>
      <c r="F994" s="15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</row>
    <row r="995" spans="1:49" ht="12.75" x14ac:dyDescent="0.2">
      <c r="A995" s="5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</row>
    <row r="996" spans="1:49" ht="12.75" x14ac:dyDescent="0.2">
      <c r="A996" s="5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</row>
    <row r="997" spans="1:49" ht="12.75" x14ac:dyDescent="0.2">
      <c r="A997" s="5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</row>
    <row r="998" spans="1:49" ht="12.75" x14ac:dyDescent="0.2">
      <c r="A998" s="5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</row>
    <row r="999" spans="1:49" ht="12.75" x14ac:dyDescent="0.2">
      <c r="A999" s="5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</row>
    <row r="1000" spans="1:49" ht="12.75" x14ac:dyDescent="0.2">
      <c r="A1000" s="5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</row>
    <row r="1001" spans="1:49" ht="12.75" x14ac:dyDescent="0.2">
      <c r="A1001" s="5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</row>
  </sheetData>
  <mergeCells count="10">
    <mergeCell ref="N2:O2"/>
    <mergeCell ref="Q2:R2"/>
    <mergeCell ref="T2:U2"/>
    <mergeCell ref="W2:X2"/>
    <mergeCell ref="H21:I21"/>
    <mergeCell ref="K21:L21"/>
    <mergeCell ref="K22:L22"/>
    <mergeCell ref="K23:L23"/>
    <mergeCell ref="H1:I1"/>
    <mergeCell ref="K1:L1"/>
  </mergeCells>
  <conditionalFormatting sqref="E1:E2 E17:E1001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03"/>
  <sheetViews>
    <sheetView workbookViewId="0">
      <selection activeCell="M10" sqref="M10:N10"/>
    </sheetView>
  </sheetViews>
  <sheetFormatPr defaultColWidth="12.5703125" defaultRowHeight="15.75" customHeight="1" x14ac:dyDescent="0.2"/>
  <cols>
    <col min="1" max="1" width="3" customWidth="1"/>
    <col min="2" max="2" width="4.85546875" customWidth="1"/>
    <col min="3" max="3" width="17.85546875" customWidth="1"/>
    <col min="5" max="5" width="30.140625" bestFit="1" customWidth="1"/>
    <col min="6" max="6" width="27.28515625" bestFit="1" customWidth="1"/>
    <col min="7" max="7" width="14.140625" bestFit="1" customWidth="1"/>
    <col min="8" max="8" width="14.7109375" bestFit="1" customWidth="1"/>
    <col min="9" max="9" width="27.7109375" customWidth="1"/>
    <col min="10" max="10" width="17.28515625" customWidth="1"/>
    <col min="11" max="11" width="24.42578125" bestFit="1" customWidth="1"/>
    <col min="12" max="12" width="16" bestFit="1" customWidth="1"/>
  </cols>
  <sheetData>
    <row r="1" spans="1:48" ht="15.75" customHeight="1" thickBot="1" x14ac:dyDescent="0.35">
      <c r="B1" s="19" t="s">
        <v>6</v>
      </c>
      <c r="C1" s="19" t="s">
        <v>7</v>
      </c>
      <c r="D1" s="19" t="s">
        <v>8</v>
      </c>
      <c r="E1" s="19" t="s">
        <v>9</v>
      </c>
      <c r="F1" s="19" t="s">
        <v>10</v>
      </c>
      <c r="G1" s="19" t="s">
        <v>11</v>
      </c>
      <c r="H1" s="19" t="s">
        <v>12</v>
      </c>
      <c r="I1" s="19" t="s">
        <v>13</v>
      </c>
      <c r="J1" s="19" t="s">
        <v>14</v>
      </c>
      <c r="K1" s="19" t="s">
        <v>15</v>
      </c>
      <c r="L1" s="20" t="s">
        <v>16</v>
      </c>
    </row>
    <row r="2" spans="1:48" ht="15.75" customHeight="1" thickBot="1" x14ac:dyDescent="0.3">
      <c r="A2" s="21"/>
      <c r="B2" s="22">
        <v>1</v>
      </c>
      <c r="C2" s="47" t="s">
        <v>54</v>
      </c>
      <c r="D2" s="24">
        <v>102459</v>
      </c>
      <c r="E2" s="25" t="s">
        <v>17</v>
      </c>
      <c r="F2" s="26">
        <v>46113</v>
      </c>
      <c r="G2" s="48" t="s">
        <v>110</v>
      </c>
      <c r="H2" s="49" t="s">
        <v>112</v>
      </c>
      <c r="I2" s="48" t="s">
        <v>69</v>
      </c>
      <c r="J2" s="48" t="s">
        <v>22</v>
      </c>
      <c r="K2" s="26">
        <v>46113</v>
      </c>
      <c r="L2" s="29">
        <v>0</v>
      </c>
      <c r="M2" s="45"/>
      <c r="N2" s="42"/>
      <c r="O2" s="21"/>
      <c r="P2" s="45"/>
      <c r="Q2" s="42"/>
      <c r="R2" s="21"/>
      <c r="S2" s="45"/>
      <c r="T2" s="42"/>
      <c r="U2" s="21"/>
      <c r="V2" s="45"/>
      <c r="W2" s="42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</row>
    <row r="3" spans="1:48" ht="15.75" customHeight="1" thickBot="1" x14ac:dyDescent="0.3">
      <c r="A3" s="21"/>
      <c r="B3" s="22">
        <v>2</v>
      </c>
      <c r="C3" s="47" t="s">
        <v>55</v>
      </c>
      <c r="D3" s="30">
        <v>124013</v>
      </c>
      <c r="E3" s="31" t="s">
        <v>18</v>
      </c>
      <c r="F3" s="26">
        <v>46113</v>
      </c>
      <c r="G3" s="48" t="s">
        <v>111</v>
      </c>
      <c r="H3" s="49" t="s">
        <v>113</v>
      </c>
      <c r="I3" s="48" t="s">
        <v>70</v>
      </c>
      <c r="J3" s="48" t="s">
        <v>39</v>
      </c>
      <c r="K3" s="26">
        <v>46113</v>
      </c>
      <c r="L3" s="32">
        <v>0</v>
      </c>
      <c r="M3" s="45"/>
      <c r="N3" s="42"/>
      <c r="O3" s="21"/>
      <c r="P3" s="45"/>
      <c r="Q3" s="42"/>
      <c r="R3" s="21"/>
      <c r="S3" s="45"/>
      <c r="T3" s="42"/>
      <c r="U3" s="21"/>
      <c r="V3" s="45"/>
      <c r="W3" s="42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</row>
    <row r="4" spans="1:48" ht="15.75" customHeight="1" thickBot="1" x14ac:dyDescent="0.3">
      <c r="A4" s="21"/>
      <c r="B4" s="22">
        <v>3</v>
      </c>
      <c r="C4" s="47" t="s">
        <v>56</v>
      </c>
      <c r="D4" s="33">
        <v>113762</v>
      </c>
      <c r="E4" s="33" t="s">
        <v>19</v>
      </c>
      <c r="F4" s="26">
        <v>46113</v>
      </c>
      <c r="G4" s="48" t="s">
        <v>110</v>
      </c>
      <c r="H4" s="49" t="s">
        <v>112</v>
      </c>
      <c r="I4" s="48" t="s">
        <v>71</v>
      </c>
      <c r="J4" s="48" t="s">
        <v>114</v>
      </c>
      <c r="K4" s="26">
        <v>46113</v>
      </c>
      <c r="L4" s="32">
        <v>0</v>
      </c>
      <c r="M4" s="45"/>
      <c r="N4" s="42"/>
      <c r="O4" s="21"/>
      <c r="P4" s="45"/>
      <c r="Q4" s="42"/>
      <c r="R4" s="21"/>
      <c r="S4" s="45"/>
      <c r="T4" s="42"/>
      <c r="U4" s="21"/>
      <c r="V4" s="45"/>
      <c r="W4" s="42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</row>
    <row r="5" spans="1:48" ht="15.75" customHeight="1" thickBot="1" x14ac:dyDescent="0.3">
      <c r="A5" s="21"/>
      <c r="B5" s="22">
        <v>4</v>
      </c>
      <c r="C5" s="47" t="s">
        <v>57</v>
      </c>
      <c r="D5" s="33">
        <v>114489</v>
      </c>
      <c r="E5" s="33" t="s">
        <v>20</v>
      </c>
      <c r="F5" s="26">
        <v>46113</v>
      </c>
      <c r="G5" s="48" t="s">
        <v>111</v>
      </c>
      <c r="H5" s="49" t="s">
        <v>113</v>
      </c>
      <c r="I5" s="48" t="s">
        <v>72</v>
      </c>
      <c r="J5" s="48" t="s">
        <v>22</v>
      </c>
      <c r="K5" s="26">
        <v>46113</v>
      </c>
      <c r="L5" s="32">
        <v>0</v>
      </c>
      <c r="M5" s="45"/>
      <c r="N5" s="42"/>
      <c r="O5" s="21"/>
      <c r="P5" s="45"/>
      <c r="Q5" s="42"/>
      <c r="R5" s="21"/>
      <c r="S5" s="45"/>
      <c r="T5" s="42"/>
      <c r="U5" s="21"/>
      <c r="V5" s="45"/>
      <c r="W5" s="42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</row>
    <row r="6" spans="1:48" ht="15.75" customHeight="1" thickBot="1" x14ac:dyDescent="0.3">
      <c r="A6" s="21"/>
      <c r="B6" s="22">
        <v>5</v>
      </c>
      <c r="C6" s="47" t="s">
        <v>58</v>
      </c>
      <c r="D6" s="33">
        <v>114489</v>
      </c>
      <c r="E6" s="33" t="s">
        <v>20</v>
      </c>
      <c r="F6" s="26">
        <v>46113</v>
      </c>
      <c r="G6" s="48" t="s">
        <v>110</v>
      </c>
      <c r="H6" s="49" t="s">
        <v>112</v>
      </c>
      <c r="I6" s="48" t="s">
        <v>73</v>
      </c>
      <c r="J6" s="48" t="s">
        <v>39</v>
      </c>
      <c r="K6" s="26">
        <v>46113</v>
      </c>
      <c r="L6" s="32">
        <v>0</v>
      </c>
      <c r="M6" s="46"/>
      <c r="N6" s="42"/>
      <c r="O6" s="34"/>
      <c r="P6" s="46"/>
      <c r="Q6" s="42"/>
      <c r="R6" s="34"/>
      <c r="S6" s="46"/>
      <c r="T6" s="42"/>
      <c r="U6" s="34"/>
      <c r="V6" s="46"/>
      <c r="W6" s="42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</row>
    <row r="7" spans="1:48" ht="15.75" customHeight="1" thickBot="1" x14ac:dyDescent="0.3">
      <c r="A7" s="21"/>
      <c r="B7" s="22">
        <v>6</v>
      </c>
      <c r="C7" s="47" t="s">
        <v>59</v>
      </c>
      <c r="D7" s="35">
        <v>114489</v>
      </c>
      <c r="E7" s="35" t="s">
        <v>20</v>
      </c>
      <c r="F7" s="26">
        <v>46113</v>
      </c>
      <c r="G7" s="48" t="s">
        <v>111</v>
      </c>
      <c r="H7" s="49" t="s">
        <v>113</v>
      </c>
      <c r="I7" s="48" t="s">
        <v>71</v>
      </c>
      <c r="J7" s="48" t="s">
        <v>114</v>
      </c>
      <c r="K7" s="26">
        <v>46113</v>
      </c>
      <c r="L7" s="32">
        <v>0</v>
      </c>
      <c r="M7" s="46"/>
      <c r="N7" s="42"/>
      <c r="O7" s="34"/>
      <c r="P7" s="46"/>
      <c r="Q7" s="42"/>
      <c r="R7" s="34"/>
      <c r="S7" s="46"/>
      <c r="T7" s="42"/>
      <c r="U7" s="34"/>
      <c r="V7" s="46"/>
      <c r="W7" s="42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</row>
    <row r="8" spans="1:48" ht="15.75" customHeight="1" thickBot="1" x14ac:dyDescent="0.3">
      <c r="A8" s="21"/>
      <c r="B8" s="22">
        <v>7</v>
      </c>
      <c r="C8" s="47" t="s">
        <v>60</v>
      </c>
      <c r="D8" s="24">
        <v>161720</v>
      </c>
      <c r="E8" s="25" t="s">
        <v>21</v>
      </c>
      <c r="F8" s="26">
        <v>46113</v>
      </c>
      <c r="G8" s="48" t="s">
        <v>110</v>
      </c>
      <c r="H8" s="49" t="s">
        <v>112</v>
      </c>
      <c r="I8" s="48" t="s">
        <v>74</v>
      </c>
      <c r="J8" s="48" t="s">
        <v>22</v>
      </c>
      <c r="K8" s="26">
        <v>46113</v>
      </c>
      <c r="L8" s="32">
        <v>0</v>
      </c>
      <c r="M8" s="46"/>
      <c r="N8" s="42"/>
      <c r="O8" s="34"/>
      <c r="P8" s="46"/>
      <c r="Q8" s="42"/>
      <c r="R8" s="34"/>
      <c r="S8" s="46"/>
      <c r="T8" s="42"/>
      <c r="U8" s="34"/>
      <c r="V8" s="46"/>
      <c r="W8" s="42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</row>
    <row r="9" spans="1:48" ht="15.75" customHeight="1" thickBot="1" x14ac:dyDescent="0.3">
      <c r="A9" s="21"/>
      <c r="B9" s="22">
        <v>8</v>
      </c>
      <c r="C9" s="47" t="s">
        <v>61</v>
      </c>
      <c r="D9" s="24">
        <v>117665</v>
      </c>
      <c r="E9" s="25" t="s">
        <v>23</v>
      </c>
      <c r="F9" s="26">
        <v>46118</v>
      </c>
      <c r="G9" s="48" t="s">
        <v>111</v>
      </c>
      <c r="H9" s="49" t="s">
        <v>113</v>
      </c>
      <c r="I9" s="48" t="s">
        <v>75</v>
      </c>
      <c r="J9" s="48" t="s">
        <v>39</v>
      </c>
      <c r="K9" s="26">
        <v>46118</v>
      </c>
      <c r="L9" s="32">
        <v>0</v>
      </c>
      <c r="M9" s="46"/>
      <c r="N9" s="42"/>
      <c r="O9" s="34"/>
      <c r="P9" s="46"/>
      <c r="Q9" s="42"/>
      <c r="R9" s="34"/>
      <c r="S9" s="46"/>
      <c r="T9" s="42"/>
      <c r="U9" s="34"/>
      <c r="V9" s="46"/>
      <c r="W9" s="42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</row>
    <row r="10" spans="1:48" ht="15.75" customHeight="1" thickBot="1" x14ac:dyDescent="0.3">
      <c r="A10" s="21"/>
      <c r="B10" s="22">
        <v>9</v>
      </c>
      <c r="C10" s="47" t="s">
        <v>62</v>
      </c>
      <c r="D10" s="24">
        <v>126288</v>
      </c>
      <c r="E10" s="25" t="s">
        <v>24</v>
      </c>
      <c r="F10" s="26">
        <v>46118</v>
      </c>
      <c r="G10" s="48" t="s">
        <v>110</v>
      </c>
      <c r="H10" s="49" t="s">
        <v>112</v>
      </c>
      <c r="I10" s="48" t="s">
        <v>71</v>
      </c>
      <c r="J10" s="48" t="s">
        <v>114</v>
      </c>
      <c r="K10" s="26">
        <v>46118</v>
      </c>
      <c r="L10" s="32">
        <v>0</v>
      </c>
      <c r="M10" s="46"/>
      <c r="N10" s="42"/>
      <c r="O10" s="34"/>
      <c r="P10" s="46"/>
      <c r="Q10" s="42"/>
      <c r="R10" s="34"/>
      <c r="S10" s="46"/>
      <c r="T10" s="42"/>
      <c r="U10" s="34"/>
      <c r="V10" s="46"/>
      <c r="W10" s="42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</row>
    <row r="11" spans="1:48" ht="15.75" customHeight="1" thickBot="1" x14ac:dyDescent="0.3">
      <c r="A11" s="36"/>
      <c r="B11" s="22">
        <v>10</v>
      </c>
      <c r="C11" s="47" t="s">
        <v>63</v>
      </c>
      <c r="D11" s="24">
        <v>104743</v>
      </c>
      <c r="E11" s="25" t="s">
        <v>25</v>
      </c>
      <c r="F11" s="26">
        <v>46118</v>
      </c>
      <c r="G11" s="48" t="s">
        <v>111</v>
      </c>
      <c r="H11" s="49" t="s">
        <v>113</v>
      </c>
      <c r="I11" s="48" t="s">
        <v>76</v>
      </c>
      <c r="J11" s="48" t="s">
        <v>22</v>
      </c>
      <c r="K11" s="26">
        <v>46118</v>
      </c>
      <c r="L11" s="32">
        <v>0</v>
      </c>
    </row>
    <row r="12" spans="1:48" ht="15.75" customHeight="1" thickBot="1" x14ac:dyDescent="0.3">
      <c r="A12" s="36"/>
      <c r="B12" s="22">
        <v>11</v>
      </c>
      <c r="C12" s="47" t="s">
        <v>64</v>
      </c>
      <c r="D12" s="24">
        <v>121430</v>
      </c>
      <c r="E12" s="25" t="s">
        <v>26</v>
      </c>
      <c r="F12" s="26">
        <v>46118</v>
      </c>
      <c r="G12" s="48" t="s">
        <v>110</v>
      </c>
      <c r="H12" s="49" t="s">
        <v>112</v>
      </c>
      <c r="I12" s="48" t="s">
        <v>77</v>
      </c>
      <c r="J12" s="48" t="s">
        <v>39</v>
      </c>
      <c r="K12" s="26">
        <v>46118</v>
      </c>
      <c r="L12" s="32">
        <v>0</v>
      </c>
    </row>
    <row r="13" spans="1:48" ht="15.75" customHeight="1" thickBot="1" x14ac:dyDescent="0.3">
      <c r="A13" s="36"/>
      <c r="B13" s="22">
        <v>12</v>
      </c>
      <c r="C13" s="47" t="s">
        <v>65</v>
      </c>
      <c r="D13" s="24">
        <v>161608</v>
      </c>
      <c r="E13" s="25" t="s">
        <v>27</v>
      </c>
      <c r="F13" s="26">
        <v>46119</v>
      </c>
      <c r="G13" s="48" t="s">
        <v>111</v>
      </c>
      <c r="H13" s="49" t="s">
        <v>113</v>
      </c>
      <c r="I13" s="48" t="s">
        <v>71</v>
      </c>
      <c r="J13" s="48" t="s">
        <v>114</v>
      </c>
      <c r="K13" s="26">
        <v>46119</v>
      </c>
      <c r="L13" s="32">
        <v>0</v>
      </c>
    </row>
    <row r="14" spans="1:48" ht="15.75" customHeight="1" thickBot="1" x14ac:dyDescent="0.3">
      <c r="A14" s="36"/>
      <c r="B14" s="22">
        <v>13</v>
      </c>
      <c r="C14" s="47" t="s">
        <v>66</v>
      </c>
      <c r="D14" s="24">
        <v>144369</v>
      </c>
      <c r="E14" s="25" t="s">
        <v>28</v>
      </c>
      <c r="F14" s="26">
        <v>46119</v>
      </c>
      <c r="G14" s="48" t="s">
        <v>110</v>
      </c>
      <c r="H14" s="49" t="s">
        <v>112</v>
      </c>
      <c r="I14" s="48" t="s">
        <v>78</v>
      </c>
      <c r="J14" s="48" t="s">
        <v>22</v>
      </c>
      <c r="K14" s="26">
        <v>46119</v>
      </c>
      <c r="L14" s="32">
        <v>0</v>
      </c>
    </row>
    <row r="15" spans="1:48" ht="15.75" customHeight="1" thickBot="1" x14ac:dyDescent="0.3">
      <c r="A15" s="36"/>
      <c r="B15" s="22">
        <v>14</v>
      </c>
      <c r="C15" s="47" t="s">
        <v>67</v>
      </c>
      <c r="D15" s="30">
        <v>119163</v>
      </c>
      <c r="E15" s="31" t="s">
        <v>29</v>
      </c>
      <c r="F15" s="26">
        <v>46119</v>
      </c>
      <c r="G15" s="48" t="s">
        <v>111</v>
      </c>
      <c r="H15" s="49" t="s">
        <v>113</v>
      </c>
      <c r="I15" s="48" t="s">
        <v>79</v>
      </c>
      <c r="J15" s="48" t="s">
        <v>39</v>
      </c>
      <c r="K15" s="26">
        <v>46119</v>
      </c>
      <c r="L15" s="32">
        <v>0</v>
      </c>
    </row>
    <row r="16" spans="1:48" ht="15.75" customHeight="1" thickBot="1" x14ac:dyDescent="0.3">
      <c r="A16" s="36"/>
      <c r="B16" s="22">
        <v>15</v>
      </c>
      <c r="C16" s="47" t="s">
        <v>68</v>
      </c>
      <c r="D16" s="30">
        <v>103328</v>
      </c>
      <c r="E16" s="31" t="s">
        <v>30</v>
      </c>
      <c r="F16" s="26">
        <v>46119</v>
      </c>
      <c r="G16" s="48" t="s">
        <v>110</v>
      </c>
      <c r="H16" s="49" t="s">
        <v>112</v>
      </c>
      <c r="I16" s="48" t="s">
        <v>71</v>
      </c>
      <c r="J16" s="48" t="s">
        <v>114</v>
      </c>
      <c r="K16" s="26">
        <v>46119</v>
      </c>
      <c r="L16" s="32">
        <v>0</v>
      </c>
    </row>
    <row r="17" spans="1:12" ht="15.75" customHeight="1" thickBot="1" x14ac:dyDescent="0.3">
      <c r="A17" s="21"/>
      <c r="B17" s="22">
        <v>16</v>
      </c>
      <c r="C17" s="47" t="s">
        <v>54</v>
      </c>
      <c r="D17" s="30">
        <v>153274</v>
      </c>
      <c r="E17" s="31" t="s">
        <v>31</v>
      </c>
      <c r="F17" s="26">
        <v>46120</v>
      </c>
      <c r="G17" s="48" t="s">
        <v>111</v>
      </c>
      <c r="H17" s="49" t="s">
        <v>113</v>
      </c>
      <c r="I17" s="48" t="s">
        <v>80</v>
      </c>
      <c r="J17" s="48" t="s">
        <v>22</v>
      </c>
      <c r="K17" s="26">
        <v>46120</v>
      </c>
      <c r="L17" s="32">
        <v>0</v>
      </c>
    </row>
    <row r="18" spans="1:12" ht="15.75" customHeight="1" thickBot="1" x14ac:dyDescent="0.3">
      <c r="A18" s="21"/>
      <c r="B18" s="22">
        <v>17</v>
      </c>
      <c r="C18" s="47" t="s">
        <v>55</v>
      </c>
      <c r="D18" s="37">
        <v>158029</v>
      </c>
      <c r="E18" s="38" t="s">
        <v>32</v>
      </c>
      <c r="F18" s="26">
        <v>46120</v>
      </c>
      <c r="G18" s="48" t="s">
        <v>110</v>
      </c>
      <c r="H18" s="49" t="s">
        <v>112</v>
      </c>
      <c r="I18" s="48" t="s">
        <v>81</v>
      </c>
      <c r="J18" s="48" t="s">
        <v>39</v>
      </c>
      <c r="K18" s="26">
        <v>46120</v>
      </c>
      <c r="L18" s="32">
        <v>0</v>
      </c>
    </row>
    <row r="19" spans="1:12" ht="15.75" customHeight="1" thickBot="1" x14ac:dyDescent="0.3">
      <c r="A19" s="21"/>
      <c r="B19" s="22">
        <v>18</v>
      </c>
      <c r="C19" s="47" t="s">
        <v>56</v>
      </c>
      <c r="D19" s="30">
        <v>119722</v>
      </c>
      <c r="E19" s="31" t="s">
        <v>33</v>
      </c>
      <c r="F19" s="26">
        <v>46120</v>
      </c>
      <c r="G19" s="48" t="s">
        <v>111</v>
      </c>
      <c r="H19" s="49" t="s">
        <v>113</v>
      </c>
      <c r="I19" s="48" t="s">
        <v>71</v>
      </c>
      <c r="J19" s="48" t="s">
        <v>114</v>
      </c>
      <c r="K19" s="26">
        <v>46120</v>
      </c>
      <c r="L19" s="32">
        <v>0</v>
      </c>
    </row>
    <row r="20" spans="1:12" ht="15.75" customHeight="1" thickBot="1" x14ac:dyDescent="0.3">
      <c r="A20" s="21"/>
      <c r="B20" s="22">
        <v>19</v>
      </c>
      <c r="C20" s="47" t="s">
        <v>57</v>
      </c>
      <c r="D20" s="30">
        <v>103328</v>
      </c>
      <c r="E20" s="31" t="s">
        <v>30</v>
      </c>
      <c r="F20" s="26">
        <v>46120</v>
      </c>
      <c r="G20" s="48" t="s">
        <v>110</v>
      </c>
      <c r="H20" s="49" t="s">
        <v>112</v>
      </c>
      <c r="I20" s="48" t="s">
        <v>82</v>
      </c>
      <c r="J20" s="48" t="s">
        <v>22</v>
      </c>
      <c r="K20" s="26">
        <v>46120</v>
      </c>
      <c r="L20" s="32">
        <v>0</v>
      </c>
    </row>
    <row r="21" spans="1:12" ht="15.75" customHeight="1" thickBot="1" x14ac:dyDescent="0.3">
      <c r="A21" s="21"/>
      <c r="B21" s="22">
        <v>20</v>
      </c>
      <c r="C21" s="47" t="s">
        <v>58</v>
      </c>
      <c r="D21" s="30">
        <v>119722</v>
      </c>
      <c r="E21" s="31" t="s">
        <v>33</v>
      </c>
      <c r="F21" s="26">
        <v>46120</v>
      </c>
      <c r="G21" s="48" t="s">
        <v>111</v>
      </c>
      <c r="H21" s="49" t="s">
        <v>113</v>
      </c>
      <c r="I21" s="48" t="s">
        <v>83</v>
      </c>
      <c r="J21" s="48" t="s">
        <v>39</v>
      </c>
      <c r="K21" s="26">
        <v>46120</v>
      </c>
      <c r="L21" s="32">
        <v>0</v>
      </c>
    </row>
    <row r="22" spans="1:12" ht="15.75" customHeight="1" thickBot="1" x14ac:dyDescent="0.3">
      <c r="A22" s="21"/>
      <c r="B22" s="22">
        <v>21</v>
      </c>
      <c r="C22" s="47" t="s">
        <v>59</v>
      </c>
      <c r="D22" s="24">
        <v>111665</v>
      </c>
      <c r="E22" s="25" t="s">
        <v>34</v>
      </c>
      <c r="F22" s="26">
        <v>46121</v>
      </c>
      <c r="G22" s="48" t="s">
        <v>110</v>
      </c>
      <c r="H22" s="49" t="s">
        <v>112</v>
      </c>
      <c r="I22" s="48" t="s">
        <v>71</v>
      </c>
      <c r="J22" s="48" t="s">
        <v>114</v>
      </c>
      <c r="K22" s="26">
        <v>46121</v>
      </c>
      <c r="L22" s="32">
        <v>0</v>
      </c>
    </row>
    <row r="23" spans="1:12" ht="15.75" customHeight="1" thickBot="1" x14ac:dyDescent="0.3">
      <c r="A23" s="21"/>
      <c r="B23" s="22">
        <v>21</v>
      </c>
      <c r="C23" s="47" t="s">
        <v>60</v>
      </c>
      <c r="D23" s="24">
        <v>111665</v>
      </c>
      <c r="E23" s="25" t="s">
        <v>34</v>
      </c>
      <c r="F23" s="26">
        <v>46121</v>
      </c>
      <c r="G23" s="48" t="s">
        <v>111</v>
      </c>
      <c r="H23" s="49" t="s">
        <v>113</v>
      </c>
      <c r="I23" s="48" t="s">
        <v>84</v>
      </c>
      <c r="J23" s="48" t="s">
        <v>22</v>
      </c>
      <c r="K23" s="26">
        <v>46121</v>
      </c>
      <c r="L23" s="32">
        <v>0</v>
      </c>
    </row>
    <row r="24" spans="1:12" ht="15.75" customHeight="1" thickBot="1" x14ac:dyDescent="0.3">
      <c r="A24" s="21"/>
      <c r="B24" s="22">
        <v>21</v>
      </c>
      <c r="C24" s="47" t="s">
        <v>61</v>
      </c>
      <c r="D24" s="24">
        <v>111665</v>
      </c>
      <c r="E24" s="25" t="s">
        <v>34</v>
      </c>
      <c r="F24" s="26">
        <v>46121</v>
      </c>
      <c r="G24" s="48" t="s">
        <v>110</v>
      </c>
      <c r="H24" s="49" t="s">
        <v>112</v>
      </c>
      <c r="I24" s="48" t="s">
        <v>85</v>
      </c>
      <c r="J24" s="48" t="s">
        <v>39</v>
      </c>
      <c r="K24" s="26">
        <v>46121</v>
      </c>
      <c r="L24" s="32">
        <v>0</v>
      </c>
    </row>
    <row r="25" spans="1:12" ht="15.75" customHeight="1" thickBot="1" x14ac:dyDescent="0.3">
      <c r="A25" s="21"/>
      <c r="B25" s="22">
        <v>21</v>
      </c>
      <c r="C25" s="47" t="s">
        <v>62</v>
      </c>
      <c r="D25" s="24">
        <v>111665</v>
      </c>
      <c r="E25" s="25" t="s">
        <v>34</v>
      </c>
      <c r="F25" s="26">
        <v>46121</v>
      </c>
      <c r="G25" s="48" t="s">
        <v>111</v>
      </c>
      <c r="H25" s="49" t="s">
        <v>113</v>
      </c>
      <c r="I25" s="48" t="s">
        <v>71</v>
      </c>
      <c r="J25" s="48" t="s">
        <v>114</v>
      </c>
      <c r="K25" s="26">
        <v>46121</v>
      </c>
      <c r="L25" s="32">
        <v>0</v>
      </c>
    </row>
    <row r="26" spans="1:12" ht="15.75" customHeight="1" thickBot="1" x14ac:dyDescent="0.3">
      <c r="A26" s="36"/>
      <c r="B26" s="22">
        <v>21</v>
      </c>
      <c r="C26" s="47" t="s">
        <v>63</v>
      </c>
      <c r="D26" s="24">
        <v>111665</v>
      </c>
      <c r="E26" s="25" t="s">
        <v>34</v>
      </c>
      <c r="F26" s="26">
        <v>46121</v>
      </c>
      <c r="G26" s="48" t="s">
        <v>110</v>
      </c>
      <c r="H26" s="49" t="s">
        <v>112</v>
      </c>
      <c r="I26" s="48" t="s">
        <v>86</v>
      </c>
      <c r="J26" s="48" t="s">
        <v>22</v>
      </c>
      <c r="K26" s="26">
        <v>46121</v>
      </c>
      <c r="L26" s="32">
        <v>0</v>
      </c>
    </row>
    <row r="27" spans="1:12" ht="15.75" customHeight="1" thickBot="1" x14ac:dyDescent="0.3">
      <c r="A27" s="36"/>
      <c r="B27" s="22">
        <v>21</v>
      </c>
      <c r="C27" s="47" t="s">
        <v>64</v>
      </c>
      <c r="D27" s="24">
        <v>111665</v>
      </c>
      <c r="E27" s="25" t="s">
        <v>34</v>
      </c>
      <c r="F27" s="26">
        <v>46121</v>
      </c>
      <c r="G27" s="48" t="s">
        <v>111</v>
      </c>
      <c r="H27" s="49" t="s">
        <v>113</v>
      </c>
      <c r="I27" s="48" t="s">
        <v>87</v>
      </c>
      <c r="J27" s="48" t="s">
        <v>39</v>
      </c>
      <c r="K27" s="26">
        <v>46121</v>
      </c>
      <c r="L27" s="32">
        <v>0</v>
      </c>
    </row>
    <row r="28" spans="1:12" ht="15.75" customHeight="1" thickBot="1" x14ac:dyDescent="0.3">
      <c r="A28" s="36"/>
      <c r="B28" s="22">
        <v>21</v>
      </c>
      <c r="C28" s="47" t="s">
        <v>65</v>
      </c>
      <c r="D28" s="24">
        <v>111665</v>
      </c>
      <c r="E28" s="25" t="s">
        <v>34</v>
      </c>
      <c r="F28" s="26">
        <v>46121</v>
      </c>
      <c r="G28" s="48" t="s">
        <v>110</v>
      </c>
      <c r="H28" s="49" t="s">
        <v>112</v>
      </c>
      <c r="I28" s="48" t="s">
        <v>71</v>
      </c>
      <c r="J28" s="48" t="s">
        <v>114</v>
      </c>
      <c r="K28" s="26">
        <v>46121</v>
      </c>
      <c r="L28" s="32">
        <v>0</v>
      </c>
    </row>
    <row r="29" spans="1:12" ht="15.75" customHeight="1" thickBot="1" x14ac:dyDescent="0.3">
      <c r="A29" s="36"/>
      <c r="B29" s="22">
        <v>22</v>
      </c>
      <c r="C29" s="47" t="s">
        <v>66</v>
      </c>
      <c r="D29" s="24">
        <v>117665</v>
      </c>
      <c r="E29" s="25" t="s">
        <v>23</v>
      </c>
      <c r="F29" s="26">
        <v>46121</v>
      </c>
      <c r="G29" s="48" t="s">
        <v>111</v>
      </c>
      <c r="H29" s="49" t="s">
        <v>113</v>
      </c>
      <c r="I29" s="48" t="s">
        <v>88</v>
      </c>
      <c r="J29" s="48" t="s">
        <v>22</v>
      </c>
      <c r="K29" s="26">
        <v>46121</v>
      </c>
      <c r="L29" s="32">
        <v>0</v>
      </c>
    </row>
    <row r="30" spans="1:12" ht="15.75" customHeight="1" thickBot="1" x14ac:dyDescent="0.3">
      <c r="A30" s="36"/>
      <c r="B30" s="22">
        <v>23</v>
      </c>
      <c r="C30" s="47" t="s">
        <v>67</v>
      </c>
      <c r="D30" s="24">
        <v>150863</v>
      </c>
      <c r="E30" s="25" t="s">
        <v>35</v>
      </c>
      <c r="F30" s="26">
        <v>46121</v>
      </c>
      <c r="G30" s="48" t="s">
        <v>110</v>
      </c>
      <c r="H30" s="49" t="s">
        <v>112</v>
      </c>
      <c r="I30" s="48" t="s">
        <v>89</v>
      </c>
      <c r="J30" s="48" t="s">
        <v>39</v>
      </c>
      <c r="K30" s="26">
        <v>46121</v>
      </c>
      <c r="L30" s="32">
        <v>0</v>
      </c>
    </row>
    <row r="31" spans="1:12" ht="15.75" customHeight="1" thickBot="1" x14ac:dyDescent="0.3">
      <c r="A31" s="36"/>
      <c r="B31" s="22">
        <v>24</v>
      </c>
      <c r="C31" s="47" t="s">
        <v>68</v>
      </c>
      <c r="D31" s="24">
        <v>113544</v>
      </c>
      <c r="E31" s="25" t="s">
        <v>36</v>
      </c>
      <c r="F31" s="26">
        <v>46121</v>
      </c>
      <c r="G31" s="48" t="s">
        <v>111</v>
      </c>
      <c r="H31" s="49" t="s">
        <v>113</v>
      </c>
      <c r="I31" s="48" t="s">
        <v>71</v>
      </c>
      <c r="J31" s="48" t="s">
        <v>114</v>
      </c>
      <c r="K31" s="26">
        <v>46121</v>
      </c>
      <c r="L31" s="32">
        <v>0</v>
      </c>
    </row>
    <row r="32" spans="1:12" ht="15.75" customHeight="1" thickBot="1" x14ac:dyDescent="0.3">
      <c r="B32" s="22">
        <v>25</v>
      </c>
      <c r="C32" s="47" t="s">
        <v>54</v>
      </c>
      <c r="D32" s="30">
        <v>126288</v>
      </c>
      <c r="E32" s="31" t="s">
        <v>24</v>
      </c>
      <c r="F32" s="26">
        <v>46122</v>
      </c>
      <c r="G32" s="48" t="s">
        <v>110</v>
      </c>
      <c r="H32" s="49" t="s">
        <v>112</v>
      </c>
      <c r="I32" s="48" t="s">
        <v>90</v>
      </c>
      <c r="J32" s="48" t="s">
        <v>22</v>
      </c>
      <c r="K32" s="26">
        <v>46122</v>
      </c>
      <c r="L32" s="32">
        <v>0</v>
      </c>
    </row>
    <row r="33" spans="2:12" ht="15.75" customHeight="1" thickBot="1" x14ac:dyDescent="0.3">
      <c r="B33" s="22">
        <v>25</v>
      </c>
      <c r="C33" s="47" t="s">
        <v>55</v>
      </c>
      <c r="D33" s="30">
        <v>126288</v>
      </c>
      <c r="E33" s="31" t="s">
        <v>24</v>
      </c>
      <c r="F33" s="26">
        <v>46122</v>
      </c>
      <c r="G33" s="48" t="s">
        <v>111</v>
      </c>
      <c r="H33" s="49" t="s">
        <v>113</v>
      </c>
      <c r="I33" s="48" t="s">
        <v>91</v>
      </c>
      <c r="J33" s="48" t="s">
        <v>39</v>
      </c>
      <c r="K33" s="26">
        <v>46122</v>
      </c>
      <c r="L33" s="32">
        <v>0</v>
      </c>
    </row>
    <row r="34" spans="2:12" ht="15.75" customHeight="1" thickBot="1" x14ac:dyDescent="0.3">
      <c r="B34" s="22">
        <v>26</v>
      </c>
      <c r="C34" s="47" t="s">
        <v>56</v>
      </c>
      <c r="D34" s="30">
        <v>145797</v>
      </c>
      <c r="E34" s="31" t="s">
        <v>37</v>
      </c>
      <c r="F34" s="26">
        <v>46122</v>
      </c>
      <c r="G34" s="48" t="s">
        <v>110</v>
      </c>
      <c r="H34" s="49" t="s">
        <v>112</v>
      </c>
      <c r="I34" s="48" t="s">
        <v>71</v>
      </c>
      <c r="J34" s="48" t="s">
        <v>114</v>
      </c>
      <c r="K34" s="26">
        <v>46122</v>
      </c>
      <c r="L34" s="32">
        <v>0</v>
      </c>
    </row>
    <row r="35" spans="2:12" ht="15.75" customHeight="1" thickBot="1" x14ac:dyDescent="0.3">
      <c r="B35" s="22">
        <v>27</v>
      </c>
      <c r="C35" s="47" t="s">
        <v>57</v>
      </c>
      <c r="D35" s="30">
        <v>110395</v>
      </c>
      <c r="E35" s="31" t="s">
        <v>38</v>
      </c>
      <c r="F35" s="26">
        <v>46125</v>
      </c>
      <c r="G35" s="48" t="s">
        <v>111</v>
      </c>
      <c r="H35" s="49" t="s">
        <v>113</v>
      </c>
      <c r="I35" s="48" t="s">
        <v>92</v>
      </c>
      <c r="J35" s="48" t="s">
        <v>22</v>
      </c>
      <c r="K35" s="26">
        <v>46125</v>
      </c>
      <c r="L35" s="32">
        <v>0</v>
      </c>
    </row>
    <row r="36" spans="2:12" ht="15.75" customHeight="1" thickBot="1" x14ac:dyDescent="0.3">
      <c r="B36" s="22">
        <v>28</v>
      </c>
      <c r="C36" s="47" t="s">
        <v>58</v>
      </c>
      <c r="D36" s="30">
        <v>145797</v>
      </c>
      <c r="E36" s="31" t="s">
        <v>40</v>
      </c>
      <c r="F36" s="26">
        <v>46125</v>
      </c>
      <c r="G36" s="48" t="s">
        <v>110</v>
      </c>
      <c r="H36" s="49" t="s">
        <v>112</v>
      </c>
      <c r="I36" s="48" t="s">
        <v>93</v>
      </c>
      <c r="J36" s="48" t="s">
        <v>39</v>
      </c>
      <c r="K36" s="26">
        <v>46125</v>
      </c>
      <c r="L36" s="32">
        <v>0</v>
      </c>
    </row>
    <row r="37" spans="2:12" ht="15.75" customHeight="1" thickBot="1" x14ac:dyDescent="0.3">
      <c r="B37" s="22">
        <v>29</v>
      </c>
      <c r="C37" s="47" t="s">
        <v>59</v>
      </c>
      <c r="D37" s="30">
        <v>144369</v>
      </c>
      <c r="E37" s="31" t="s">
        <v>28</v>
      </c>
      <c r="F37" s="26">
        <v>46125</v>
      </c>
      <c r="G37" s="48" t="s">
        <v>111</v>
      </c>
      <c r="H37" s="49" t="s">
        <v>113</v>
      </c>
      <c r="I37" s="48" t="s">
        <v>71</v>
      </c>
      <c r="J37" s="48" t="s">
        <v>114</v>
      </c>
      <c r="K37" s="26">
        <v>46125</v>
      </c>
      <c r="L37" s="32">
        <v>0</v>
      </c>
    </row>
    <row r="38" spans="2:12" ht="15.75" customHeight="1" thickBot="1" x14ac:dyDescent="0.3">
      <c r="B38" s="22">
        <v>30</v>
      </c>
      <c r="C38" s="47" t="s">
        <v>60</v>
      </c>
      <c r="D38" s="33">
        <v>119163</v>
      </c>
      <c r="E38" s="33" t="s">
        <v>29</v>
      </c>
      <c r="F38" s="26">
        <v>46125</v>
      </c>
      <c r="G38" s="48" t="s">
        <v>110</v>
      </c>
      <c r="H38" s="49" t="s">
        <v>112</v>
      </c>
      <c r="I38" s="48" t="s">
        <v>94</v>
      </c>
      <c r="J38" s="48" t="s">
        <v>22</v>
      </c>
      <c r="K38" s="26">
        <v>46125</v>
      </c>
      <c r="L38" s="32">
        <v>0</v>
      </c>
    </row>
    <row r="39" spans="2:12" ht="15.75" customHeight="1" thickBot="1" x14ac:dyDescent="0.3">
      <c r="B39" s="22">
        <v>31</v>
      </c>
      <c r="C39" s="47" t="s">
        <v>61</v>
      </c>
      <c r="D39" s="35">
        <v>129042</v>
      </c>
      <c r="E39" s="35" t="s">
        <v>41</v>
      </c>
      <c r="F39" s="26">
        <v>46126</v>
      </c>
      <c r="G39" s="48" t="s">
        <v>111</v>
      </c>
      <c r="H39" s="49" t="s">
        <v>113</v>
      </c>
      <c r="I39" s="48" t="s">
        <v>95</v>
      </c>
      <c r="J39" s="48" t="s">
        <v>39</v>
      </c>
      <c r="K39" s="26">
        <v>46126</v>
      </c>
      <c r="L39" s="32">
        <v>0</v>
      </c>
    </row>
    <row r="40" spans="2:12" ht="15.75" customHeight="1" thickBot="1" x14ac:dyDescent="0.3">
      <c r="B40" s="22">
        <v>32</v>
      </c>
      <c r="C40" s="47" t="s">
        <v>62</v>
      </c>
      <c r="D40" s="30">
        <v>111013</v>
      </c>
      <c r="E40" s="31" t="s">
        <v>42</v>
      </c>
      <c r="F40" s="26">
        <v>46126</v>
      </c>
      <c r="G40" s="48" t="s">
        <v>110</v>
      </c>
      <c r="H40" s="49" t="s">
        <v>112</v>
      </c>
      <c r="I40" s="48" t="s">
        <v>71</v>
      </c>
      <c r="J40" s="48" t="s">
        <v>114</v>
      </c>
      <c r="K40" s="26">
        <v>46126</v>
      </c>
      <c r="L40" s="32">
        <v>0</v>
      </c>
    </row>
    <row r="41" spans="2:12" ht="15.75" customHeight="1" thickBot="1" x14ac:dyDescent="0.3">
      <c r="B41" s="22">
        <v>33</v>
      </c>
      <c r="C41" s="47" t="s">
        <v>63</v>
      </c>
      <c r="D41" s="33">
        <v>145900</v>
      </c>
      <c r="E41" s="33" t="s">
        <v>43</v>
      </c>
      <c r="F41" s="26">
        <v>46126</v>
      </c>
      <c r="G41" s="48" t="s">
        <v>111</v>
      </c>
      <c r="H41" s="49" t="s">
        <v>113</v>
      </c>
      <c r="I41" s="48" t="s">
        <v>96</v>
      </c>
      <c r="J41" s="48" t="s">
        <v>22</v>
      </c>
      <c r="K41" s="26">
        <v>46126</v>
      </c>
      <c r="L41" s="32">
        <v>0</v>
      </c>
    </row>
    <row r="42" spans="2:12" ht="15.75" customHeight="1" thickBot="1" x14ac:dyDescent="0.3">
      <c r="B42" s="22">
        <v>34</v>
      </c>
      <c r="C42" s="47" t="s">
        <v>64</v>
      </c>
      <c r="D42" s="24">
        <v>117665</v>
      </c>
      <c r="E42" s="25" t="s">
        <v>23</v>
      </c>
      <c r="F42" s="26">
        <v>46126</v>
      </c>
      <c r="G42" s="48" t="s">
        <v>110</v>
      </c>
      <c r="H42" s="49" t="s">
        <v>112</v>
      </c>
      <c r="I42" s="48" t="s">
        <v>97</v>
      </c>
      <c r="J42" s="48" t="s">
        <v>39</v>
      </c>
      <c r="K42" s="26">
        <v>46126</v>
      </c>
      <c r="L42" s="32">
        <v>0</v>
      </c>
    </row>
    <row r="43" spans="2:12" ht="16.5" thickBot="1" x14ac:dyDescent="0.3">
      <c r="B43" s="22">
        <v>35</v>
      </c>
      <c r="C43" s="47" t="s">
        <v>65</v>
      </c>
      <c r="D43" s="24">
        <v>150326</v>
      </c>
      <c r="E43" s="25" t="s">
        <v>44</v>
      </c>
      <c r="F43" s="26">
        <v>46128</v>
      </c>
      <c r="G43" s="48" t="s">
        <v>111</v>
      </c>
      <c r="H43" s="49" t="s">
        <v>113</v>
      </c>
      <c r="I43" s="48" t="s">
        <v>71</v>
      </c>
      <c r="J43" s="48" t="s">
        <v>114</v>
      </c>
      <c r="K43" s="26">
        <v>46128</v>
      </c>
      <c r="L43" s="32">
        <v>0</v>
      </c>
    </row>
    <row r="44" spans="2:12" ht="16.5" thickBot="1" x14ac:dyDescent="0.3">
      <c r="B44" s="22">
        <v>36</v>
      </c>
      <c r="C44" s="47" t="s">
        <v>66</v>
      </c>
      <c r="D44" s="24">
        <v>121756</v>
      </c>
      <c r="E44" s="25" t="s">
        <v>45</v>
      </c>
      <c r="F44" s="26">
        <v>46129</v>
      </c>
      <c r="G44" s="48" t="s">
        <v>110</v>
      </c>
      <c r="H44" s="49" t="s">
        <v>112</v>
      </c>
      <c r="I44" s="48" t="s">
        <v>98</v>
      </c>
      <c r="J44" s="48" t="s">
        <v>22</v>
      </c>
      <c r="K44" s="26">
        <v>46129</v>
      </c>
      <c r="L44" s="32">
        <v>0</v>
      </c>
    </row>
    <row r="45" spans="2:12" ht="16.5" thickBot="1" x14ac:dyDescent="0.3">
      <c r="B45" s="22">
        <v>37</v>
      </c>
      <c r="C45" s="47" t="s">
        <v>67</v>
      </c>
      <c r="D45" s="24">
        <v>140332</v>
      </c>
      <c r="E45" s="25" t="s">
        <v>46</v>
      </c>
      <c r="F45" s="26">
        <v>46132</v>
      </c>
      <c r="G45" s="48" t="s">
        <v>111</v>
      </c>
      <c r="H45" s="49" t="s">
        <v>113</v>
      </c>
      <c r="I45" s="48" t="s">
        <v>99</v>
      </c>
      <c r="J45" s="48" t="s">
        <v>39</v>
      </c>
      <c r="K45" s="26">
        <v>46132</v>
      </c>
      <c r="L45" s="32">
        <v>0</v>
      </c>
    </row>
    <row r="46" spans="2:12" ht="16.5" thickBot="1" x14ac:dyDescent="0.3">
      <c r="B46" s="22">
        <v>38</v>
      </c>
      <c r="C46" s="47" t="s">
        <v>68</v>
      </c>
      <c r="D46" s="30">
        <v>119722</v>
      </c>
      <c r="E46" s="31" t="s">
        <v>33</v>
      </c>
      <c r="F46" s="26">
        <v>46132</v>
      </c>
      <c r="G46" s="48" t="s">
        <v>110</v>
      </c>
      <c r="H46" s="49" t="s">
        <v>112</v>
      </c>
      <c r="I46" s="48" t="s">
        <v>71</v>
      </c>
      <c r="J46" s="48" t="s">
        <v>114</v>
      </c>
      <c r="K46" s="26">
        <v>46132</v>
      </c>
      <c r="L46" s="32">
        <v>0</v>
      </c>
    </row>
    <row r="47" spans="2:12" ht="16.5" thickBot="1" x14ac:dyDescent="0.3">
      <c r="B47" s="22">
        <v>39</v>
      </c>
      <c r="C47" s="47" t="s">
        <v>54</v>
      </c>
      <c r="D47" s="30">
        <v>118222</v>
      </c>
      <c r="E47" s="31" t="s">
        <v>47</v>
      </c>
      <c r="F47" s="26">
        <v>46132</v>
      </c>
      <c r="G47" s="48" t="s">
        <v>111</v>
      </c>
      <c r="H47" s="49" t="s">
        <v>113</v>
      </c>
      <c r="I47" s="48" t="s">
        <v>100</v>
      </c>
      <c r="J47" s="48" t="s">
        <v>22</v>
      </c>
      <c r="K47" s="26">
        <v>46132</v>
      </c>
      <c r="L47" s="32">
        <v>0</v>
      </c>
    </row>
    <row r="48" spans="2:12" ht="16.5" thickBot="1" x14ac:dyDescent="0.3">
      <c r="B48" s="22">
        <v>40</v>
      </c>
      <c r="C48" s="47" t="s">
        <v>55</v>
      </c>
      <c r="D48" s="24">
        <v>121756</v>
      </c>
      <c r="E48" s="25" t="s">
        <v>45</v>
      </c>
      <c r="F48" s="26">
        <v>46134</v>
      </c>
      <c r="G48" s="48" t="s">
        <v>110</v>
      </c>
      <c r="H48" s="49" t="s">
        <v>112</v>
      </c>
      <c r="I48" s="48" t="s">
        <v>101</v>
      </c>
      <c r="J48" s="48" t="s">
        <v>39</v>
      </c>
      <c r="K48" s="26">
        <v>46134</v>
      </c>
      <c r="L48" s="32">
        <v>0</v>
      </c>
    </row>
    <row r="49" spans="2:12" ht="16.5" thickBot="1" x14ac:dyDescent="0.3">
      <c r="B49" s="22">
        <v>41</v>
      </c>
      <c r="C49" s="47" t="s">
        <v>56</v>
      </c>
      <c r="D49" s="24">
        <v>153669</v>
      </c>
      <c r="E49" s="25" t="s">
        <v>48</v>
      </c>
      <c r="F49" s="26">
        <v>46135</v>
      </c>
      <c r="G49" s="48" t="s">
        <v>111</v>
      </c>
      <c r="H49" s="49" t="s">
        <v>113</v>
      </c>
      <c r="I49" s="48" t="s">
        <v>71</v>
      </c>
      <c r="J49" s="48" t="s">
        <v>114</v>
      </c>
      <c r="K49" s="26">
        <v>46135</v>
      </c>
      <c r="L49" s="32">
        <v>0</v>
      </c>
    </row>
    <row r="50" spans="2:12" ht="16.5" thickBot="1" x14ac:dyDescent="0.3">
      <c r="B50" s="22">
        <v>42</v>
      </c>
      <c r="C50" s="47" t="s">
        <v>57</v>
      </c>
      <c r="D50" s="24">
        <v>113544</v>
      </c>
      <c r="E50" s="25" t="s">
        <v>36</v>
      </c>
      <c r="F50" s="26">
        <v>46135</v>
      </c>
      <c r="G50" s="48" t="s">
        <v>110</v>
      </c>
      <c r="H50" s="49" t="s">
        <v>112</v>
      </c>
      <c r="I50" s="48" t="s">
        <v>102</v>
      </c>
      <c r="J50" s="48" t="s">
        <v>22</v>
      </c>
      <c r="K50" s="26">
        <v>46135</v>
      </c>
      <c r="L50" s="32">
        <v>0</v>
      </c>
    </row>
    <row r="51" spans="2:12" ht="16.5" thickBot="1" x14ac:dyDescent="0.3">
      <c r="B51" s="22">
        <v>43</v>
      </c>
      <c r="C51" s="47" t="s">
        <v>58</v>
      </c>
      <c r="D51" s="24">
        <v>153669</v>
      </c>
      <c r="E51" s="25" t="s">
        <v>48</v>
      </c>
      <c r="F51" s="26">
        <v>46136</v>
      </c>
      <c r="G51" s="48" t="s">
        <v>111</v>
      </c>
      <c r="H51" s="49" t="s">
        <v>113</v>
      </c>
      <c r="I51" s="48" t="s">
        <v>103</v>
      </c>
      <c r="J51" s="48" t="s">
        <v>39</v>
      </c>
      <c r="K51" s="26">
        <v>46136</v>
      </c>
      <c r="L51" s="32">
        <v>0</v>
      </c>
    </row>
    <row r="52" spans="2:12" ht="16.5" thickBot="1" x14ac:dyDescent="0.3">
      <c r="B52" s="22">
        <v>44</v>
      </c>
      <c r="C52" s="47" t="s">
        <v>59</v>
      </c>
      <c r="D52" s="24">
        <v>111820</v>
      </c>
      <c r="E52" s="25" t="s">
        <v>49</v>
      </c>
      <c r="F52" s="26">
        <v>46136</v>
      </c>
      <c r="G52" s="48" t="s">
        <v>110</v>
      </c>
      <c r="H52" s="49" t="s">
        <v>112</v>
      </c>
      <c r="I52" s="48" t="s">
        <v>71</v>
      </c>
      <c r="J52" s="48" t="s">
        <v>114</v>
      </c>
      <c r="K52" s="26">
        <v>46136</v>
      </c>
      <c r="L52" s="32">
        <v>0</v>
      </c>
    </row>
    <row r="53" spans="2:12" ht="16.5" thickBot="1" x14ac:dyDescent="0.3">
      <c r="B53" s="22">
        <v>45</v>
      </c>
      <c r="C53" s="47" t="s">
        <v>60</v>
      </c>
      <c r="D53" s="24">
        <v>102097</v>
      </c>
      <c r="E53" s="25" t="s">
        <v>50</v>
      </c>
      <c r="F53" s="26">
        <v>46136</v>
      </c>
      <c r="G53" s="48" t="s">
        <v>111</v>
      </c>
      <c r="H53" s="49" t="s">
        <v>113</v>
      </c>
      <c r="I53" s="48" t="s">
        <v>104</v>
      </c>
      <c r="J53" s="48" t="s">
        <v>22</v>
      </c>
      <c r="K53" s="26">
        <v>46136</v>
      </c>
      <c r="L53" s="32">
        <v>0</v>
      </c>
    </row>
    <row r="54" spans="2:12" ht="16.5" thickBot="1" x14ac:dyDescent="0.3">
      <c r="B54" s="22">
        <v>46</v>
      </c>
      <c r="C54" s="47" t="s">
        <v>61</v>
      </c>
      <c r="D54" s="24">
        <v>115809</v>
      </c>
      <c r="E54" s="25" t="s">
        <v>51</v>
      </c>
      <c r="F54" s="26">
        <v>46136</v>
      </c>
      <c r="G54" s="48" t="s">
        <v>110</v>
      </c>
      <c r="H54" s="49" t="s">
        <v>112</v>
      </c>
      <c r="I54" s="48" t="s">
        <v>105</v>
      </c>
      <c r="J54" s="48" t="s">
        <v>39</v>
      </c>
      <c r="K54" s="26">
        <v>46136</v>
      </c>
      <c r="L54" s="32">
        <v>0</v>
      </c>
    </row>
    <row r="55" spans="2:12" ht="16.5" thickBot="1" x14ac:dyDescent="0.3">
      <c r="B55" s="22">
        <v>47</v>
      </c>
      <c r="C55" s="47" t="s">
        <v>62</v>
      </c>
      <c r="D55" s="24">
        <v>114985</v>
      </c>
      <c r="E55" s="25" t="s">
        <v>52</v>
      </c>
      <c r="F55" s="26">
        <v>46140</v>
      </c>
      <c r="G55" s="48" t="s">
        <v>111</v>
      </c>
      <c r="H55" s="49" t="s">
        <v>113</v>
      </c>
      <c r="I55" s="48" t="s">
        <v>71</v>
      </c>
      <c r="J55" s="48" t="s">
        <v>114</v>
      </c>
      <c r="K55" s="26">
        <v>46140</v>
      </c>
      <c r="L55" s="32">
        <v>0</v>
      </c>
    </row>
    <row r="56" spans="2:12" ht="16.5" thickBot="1" x14ac:dyDescent="0.3">
      <c r="B56" s="22">
        <v>48</v>
      </c>
      <c r="C56" s="47" t="s">
        <v>63</v>
      </c>
      <c r="D56" s="24">
        <v>140332</v>
      </c>
      <c r="E56" s="25" t="s">
        <v>46</v>
      </c>
      <c r="F56" s="26">
        <v>46140</v>
      </c>
      <c r="G56" s="48" t="s">
        <v>110</v>
      </c>
      <c r="H56" s="49" t="s">
        <v>112</v>
      </c>
      <c r="I56" s="48" t="s">
        <v>106</v>
      </c>
      <c r="J56" s="48" t="s">
        <v>22</v>
      </c>
      <c r="K56" s="26">
        <v>46140</v>
      </c>
      <c r="L56" s="32">
        <v>0</v>
      </c>
    </row>
    <row r="57" spans="2:12" ht="16.5" thickBot="1" x14ac:dyDescent="0.3">
      <c r="B57" s="22">
        <v>48</v>
      </c>
      <c r="C57" s="47" t="s">
        <v>64</v>
      </c>
      <c r="D57" s="24">
        <v>140332</v>
      </c>
      <c r="E57" s="25" t="s">
        <v>46</v>
      </c>
      <c r="F57" s="26">
        <v>46140</v>
      </c>
      <c r="G57" s="48" t="s">
        <v>111</v>
      </c>
      <c r="H57" s="49" t="s">
        <v>113</v>
      </c>
      <c r="I57" s="48" t="s">
        <v>107</v>
      </c>
      <c r="J57" s="48" t="s">
        <v>39</v>
      </c>
      <c r="K57" s="26">
        <v>46140</v>
      </c>
      <c r="L57" s="32">
        <v>0</v>
      </c>
    </row>
    <row r="58" spans="2:12" ht="16.5" thickBot="1" x14ac:dyDescent="0.3">
      <c r="B58" s="22">
        <v>49</v>
      </c>
      <c r="C58" s="47" t="s">
        <v>65</v>
      </c>
      <c r="D58" s="24">
        <v>140332</v>
      </c>
      <c r="E58" s="25" t="s">
        <v>46</v>
      </c>
      <c r="F58" s="26">
        <v>46140</v>
      </c>
      <c r="G58" s="48" t="s">
        <v>110</v>
      </c>
      <c r="H58" s="49" t="s">
        <v>112</v>
      </c>
      <c r="I58" s="48" t="s">
        <v>71</v>
      </c>
      <c r="J58" s="48" t="s">
        <v>114</v>
      </c>
      <c r="K58" s="26">
        <v>46140</v>
      </c>
      <c r="L58" s="32">
        <v>0</v>
      </c>
    </row>
    <row r="59" spans="2:12" ht="16.5" thickBot="1" x14ac:dyDescent="0.3">
      <c r="B59" s="22">
        <v>50</v>
      </c>
      <c r="C59" s="47" t="s">
        <v>66</v>
      </c>
      <c r="D59" s="24">
        <v>103412</v>
      </c>
      <c r="E59" s="25" t="s">
        <v>53</v>
      </c>
      <c r="F59" s="26">
        <v>46140</v>
      </c>
      <c r="G59" s="48" t="s">
        <v>111</v>
      </c>
      <c r="H59" s="49" t="s">
        <v>113</v>
      </c>
      <c r="I59" s="48" t="s">
        <v>108</v>
      </c>
      <c r="J59" s="48" t="s">
        <v>22</v>
      </c>
      <c r="K59" s="26">
        <v>46140</v>
      </c>
      <c r="L59" s="32">
        <v>0</v>
      </c>
    </row>
    <row r="60" spans="2:12" ht="16.5" thickBot="1" x14ac:dyDescent="0.3">
      <c r="B60" s="22">
        <v>50</v>
      </c>
      <c r="C60" s="47" t="s">
        <v>67</v>
      </c>
      <c r="D60" s="24">
        <v>103412</v>
      </c>
      <c r="E60" s="25" t="s">
        <v>53</v>
      </c>
      <c r="F60" s="26">
        <v>46140</v>
      </c>
      <c r="G60" s="48" t="s">
        <v>110</v>
      </c>
      <c r="H60" s="49" t="s">
        <v>112</v>
      </c>
      <c r="I60" s="48" t="s">
        <v>109</v>
      </c>
      <c r="J60" s="48" t="s">
        <v>39</v>
      </c>
      <c r="K60" s="26">
        <v>46140</v>
      </c>
      <c r="L60" s="32">
        <v>0</v>
      </c>
    </row>
    <row r="61" spans="2:12" ht="16.5" thickBot="1" x14ac:dyDescent="0.3">
      <c r="B61" s="22">
        <v>51</v>
      </c>
      <c r="C61" s="47"/>
      <c r="D61" s="24"/>
      <c r="E61" s="25"/>
      <c r="F61" s="26"/>
      <c r="G61" s="39"/>
      <c r="H61" s="28"/>
      <c r="I61" s="27"/>
      <c r="J61" s="27"/>
      <c r="K61" s="26"/>
      <c r="L61" s="32"/>
    </row>
    <row r="62" spans="2:12" x14ac:dyDescent="0.25">
      <c r="B62" s="22"/>
      <c r="C62" s="23"/>
      <c r="D62" s="24"/>
      <c r="E62" s="25"/>
      <c r="F62" s="26"/>
      <c r="G62" s="39"/>
      <c r="H62" s="28"/>
      <c r="I62" s="27"/>
      <c r="J62" s="27"/>
      <c r="K62" s="26"/>
      <c r="L62" s="32"/>
    </row>
    <row r="63" spans="2:12" x14ac:dyDescent="0.25">
      <c r="B63" s="22"/>
      <c r="C63" s="23"/>
      <c r="D63" s="24"/>
      <c r="E63" s="25"/>
      <c r="F63" s="26"/>
      <c r="G63" s="39"/>
      <c r="H63" s="28"/>
      <c r="I63" s="27"/>
      <c r="J63" s="27"/>
      <c r="K63" s="26"/>
      <c r="L63" s="32"/>
    </row>
    <row r="64" spans="2:12" x14ac:dyDescent="0.25">
      <c r="B64" s="22"/>
      <c r="C64" s="23"/>
      <c r="D64" s="24"/>
      <c r="E64" s="25"/>
      <c r="F64" s="26"/>
      <c r="G64" s="39"/>
      <c r="H64" s="28"/>
      <c r="I64" s="27"/>
      <c r="J64" s="27"/>
      <c r="K64" s="26"/>
      <c r="L64" s="32"/>
    </row>
    <row r="65" spans="2:12" x14ac:dyDescent="0.25">
      <c r="B65" s="22"/>
      <c r="C65" s="23"/>
      <c r="D65" s="30"/>
      <c r="E65" s="31"/>
      <c r="F65" s="26"/>
      <c r="G65" s="39"/>
      <c r="H65" s="28"/>
      <c r="I65" s="27"/>
      <c r="J65" s="27"/>
      <c r="K65" s="26"/>
      <c r="L65" s="32"/>
    </row>
    <row r="66" spans="2:12" x14ac:dyDescent="0.25">
      <c r="B66" s="22"/>
      <c r="C66" s="23"/>
      <c r="D66" s="30"/>
      <c r="E66" s="31"/>
      <c r="F66" s="26"/>
      <c r="G66" s="39"/>
      <c r="H66" s="28"/>
      <c r="I66" s="27"/>
      <c r="J66" s="27"/>
      <c r="K66" s="26"/>
      <c r="L66" s="32"/>
    </row>
    <row r="67" spans="2:12" x14ac:dyDescent="0.25">
      <c r="B67" s="22"/>
      <c r="C67" s="23"/>
      <c r="D67" s="24"/>
      <c r="E67" s="25"/>
      <c r="F67" s="26"/>
      <c r="G67" s="39"/>
      <c r="H67" s="28"/>
      <c r="I67" s="27"/>
      <c r="J67" s="27"/>
      <c r="K67" s="26"/>
      <c r="L67" s="32"/>
    </row>
    <row r="68" spans="2:12" x14ac:dyDescent="0.25">
      <c r="B68" s="22"/>
      <c r="C68" s="23"/>
      <c r="D68" s="24"/>
      <c r="E68" s="25"/>
      <c r="F68" s="26"/>
      <c r="G68" s="39"/>
      <c r="H68" s="28"/>
      <c r="I68" s="27"/>
      <c r="J68" s="27"/>
      <c r="K68" s="26"/>
      <c r="L68" s="32"/>
    </row>
    <row r="69" spans="2:12" x14ac:dyDescent="0.25">
      <c r="B69" s="22"/>
      <c r="C69" s="23"/>
      <c r="D69" s="24"/>
      <c r="E69" s="25"/>
      <c r="F69" s="26"/>
      <c r="G69" s="39"/>
      <c r="H69" s="28"/>
      <c r="I69" s="27"/>
      <c r="J69" s="27"/>
      <c r="K69" s="26"/>
      <c r="L69" s="32"/>
    </row>
    <row r="70" spans="2:12" x14ac:dyDescent="0.25">
      <c r="B70" s="22"/>
      <c r="C70" s="23"/>
      <c r="D70" s="24"/>
      <c r="E70" s="25"/>
      <c r="F70" s="26"/>
      <c r="G70" s="27"/>
      <c r="H70" s="28"/>
      <c r="I70" s="27"/>
      <c r="J70" s="27"/>
      <c r="K70" s="26"/>
      <c r="L70" s="32"/>
    </row>
    <row r="71" spans="2:12" x14ac:dyDescent="0.25">
      <c r="B71" s="22"/>
      <c r="C71" s="23"/>
      <c r="D71" s="24"/>
      <c r="E71" s="25"/>
      <c r="F71" s="26"/>
      <c r="G71" s="27"/>
      <c r="H71" s="28"/>
      <c r="I71" s="27"/>
      <c r="J71" s="27"/>
      <c r="K71" s="26"/>
      <c r="L71" s="32"/>
    </row>
    <row r="72" spans="2:12" x14ac:dyDescent="0.25">
      <c r="B72" s="22"/>
      <c r="C72" s="23"/>
      <c r="D72" s="24"/>
      <c r="E72" s="25"/>
      <c r="F72" s="26"/>
      <c r="G72" s="27"/>
      <c r="H72" s="28"/>
      <c r="I72" s="27"/>
      <c r="J72" s="27"/>
      <c r="K72" s="26"/>
      <c r="L72" s="32"/>
    </row>
    <row r="73" spans="2:12" x14ac:dyDescent="0.25">
      <c r="B73" s="22"/>
      <c r="C73" s="23"/>
      <c r="D73" s="24"/>
      <c r="E73" s="25"/>
      <c r="F73" s="26"/>
      <c r="G73" s="27"/>
      <c r="H73" s="28"/>
      <c r="I73" s="27"/>
      <c r="J73" s="27"/>
      <c r="K73" s="26"/>
      <c r="L73" s="32"/>
    </row>
    <row r="74" spans="2:12" x14ac:dyDescent="0.25">
      <c r="B74" s="22"/>
      <c r="C74" s="23"/>
      <c r="D74" s="24"/>
      <c r="E74" s="25"/>
      <c r="F74" s="26"/>
      <c r="G74" s="27"/>
      <c r="H74" s="28"/>
      <c r="I74" s="27"/>
      <c r="J74" s="27"/>
      <c r="K74" s="26"/>
      <c r="L74" s="32"/>
    </row>
    <row r="75" spans="2:12" x14ac:dyDescent="0.25">
      <c r="B75" s="22"/>
      <c r="C75" s="23"/>
      <c r="D75" s="24"/>
      <c r="E75" s="25"/>
      <c r="F75" s="26"/>
      <c r="G75" s="27"/>
      <c r="H75" s="28"/>
      <c r="I75" s="27"/>
      <c r="J75" s="27"/>
      <c r="K75" s="26"/>
      <c r="L75" s="32"/>
    </row>
    <row r="76" spans="2:12" x14ac:dyDescent="0.25">
      <c r="B76" s="22"/>
      <c r="C76" s="23"/>
      <c r="D76" s="24"/>
      <c r="E76" s="25"/>
      <c r="F76" s="26"/>
      <c r="G76" s="27"/>
      <c r="H76" s="28"/>
      <c r="I76" s="27"/>
      <c r="J76" s="27"/>
      <c r="K76" s="26"/>
      <c r="L76" s="32"/>
    </row>
    <row r="77" spans="2:12" x14ac:dyDescent="0.25">
      <c r="B77" s="22"/>
      <c r="C77" s="23"/>
      <c r="D77" s="24"/>
      <c r="E77" s="25"/>
      <c r="F77" s="26"/>
      <c r="G77" s="27"/>
      <c r="H77" s="28"/>
      <c r="I77" s="27"/>
      <c r="J77" s="27"/>
      <c r="K77" s="26"/>
      <c r="L77" s="32"/>
    </row>
    <row r="78" spans="2:12" x14ac:dyDescent="0.25">
      <c r="B78" s="22"/>
      <c r="C78" s="23"/>
      <c r="D78" s="24"/>
      <c r="E78" s="25"/>
      <c r="F78" s="26"/>
      <c r="G78" s="27"/>
      <c r="H78" s="28"/>
      <c r="I78" s="27"/>
      <c r="J78" s="27"/>
      <c r="K78" s="26"/>
      <c r="L78" s="32"/>
    </row>
    <row r="79" spans="2:12" x14ac:dyDescent="0.25">
      <c r="B79" s="22"/>
      <c r="C79" s="23"/>
      <c r="D79" s="24"/>
      <c r="E79" s="25"/>
      <c r="F79" s="26"/>
      <c r="G79" s="27"/>
      <c r="H79" s="28"/>
      <c r="I79" s="27"/>
      <c r="J79" s="27"/>
      <c r="K79" s="26"/>
      <c r="L79" s="32"/>
    </row>
    <row r="80" spans="2:12" x14ac:dyDescent="0.25">
      <c r="B80" s="22"/>
      <c r="C80" s="23"/>
      <c r="D80" s="24"/>
      <c r="E80" s="25"/>
      <c r="F80" s="26"/>
      <c r="G80" s="27"/>
      <c r="H80" s="28"/>
      <c r="I80" s="27"/>
      <c r="J80" s="27"/>
      <c r="K80" s="26"/>
      <c r="L80" s="32"/>
    </row>
    <row r="81" spans="2:12" x14ac:dyDescent="0.25">
      <c r="B81" s="22"/>
      <c r="C81" s="23"/>
      <c r="D81" s="24"/>
      <c r="E81" s="25"/>
      <c r="F81" s="26"/>
      <c r="G81" s="27"/>
      <c r="H81" s="28"/>
      <c r="I81" s="27"/>
      <c r="J81" s="27"/>
      <c r="K81" s="26"/>
      <c r="L81" s="32"/>
    </row>
    <row r="82" spans="2:12" x14ac:dyDescent="0.25">
      <c r="B82" s="22"/>
      <c r="C82" s="23"/>
      <c r="D82" s="24"/>
      <c r="E82" s="25"/>
      <c r="F82" s="26"/>
      <c r="G82" s="27"/>
      <c r="H82" s="28"/>
      <c r="I82" s="27"/>
      <c r="J82" s="27"/>
      <c r="K82" s="26"/>
      <c r="L82" s="32"/>
    </row>
    <row r="83" spans="2:12" x14ac:dyDescent="0.25">
      <c r="B83" s="22"/>
      <c r="C83" s="23"/>
      <c r="D83" s="24"/>
      <c r="E83" s="25"/>
      <c r="F83" s="26"/>
      <c r="G83" s="27"/>
      <c r="H83" s="28"/>
      <c r="I83" s="27"/>
      <c r="J83" s="27"/>
      <c r="K83" s="26"/>
      <c r="L83" s="32"/>
    </row>
    <row r="84" spans="2:12" x14ac:dyDescent="0.25">
      <c r="B84" s="22"/>
      <c r="C84" s="23"/>
      <c r="D84" s="24"/>
      <c r="E84" s="25"/>
      <c r="F84" s="26"/>
      <c r="G84" s="27"/>
      <c r="H84" s="28"/>
      <c r="I84" s="27"/>
      <c r="J84" s="27"/>
      <c r="K84" s="26"/>
      <c r="L84" s="32"/>
    </row>
    <row r="85" spans="2:12" x14ac:dyDescent="0.25">
      <c r="B85" s="22"/>
      <c r="C85" s="23"/>
      <c r="D85" s="24"/>
      <c r="E85" s="25"/>
      <c r="F85" s="26"/>
      <c r="G85" s="27"/>
      <c r="H85" s="28"/>
      <c r="I85" s="27"/>
      <c r="J85" s="27"/>
      <c r="K85" s="26"/>
      <c r="L85" s="32"/>
    </row>
    <row r="86" spans="2:12" x14ac:dyDescent="0.25">
      <c r="B86" s="22"/>
      <c r="C86" s="23"/>
      <c r="D86" s="24"/>
      <c r="E86" s="25"/>
      <c r="F86" s="26"/>
      <c r="G86" s="27"/>
      <c r="H86" s="28"/>
      <c r="I86" s="27"/>
      <c r="J86" s="27"/>
      <c r="K86" s="26"/>
      <c r="L86" s="32"/>
    </row>
    <row r="87" spans="2:12" x14ac:dyDescent="0.25">
      <c r="B87" s="22"/>
      <c r="C87" s="23"/>
      <c r="D87" s="24"/>
      <c r="E87" s="25"/>
      <c r="F87" s="26"/>
      <c r="G87" s="27"/>
      <c r="H87" s="28"/>
      <c r="I87" s="27"/>
      <c r="J87" s="27"/>
      <c r="K87" s="26"/>
      <c r="L87" s="32"/>
    </row>
    <row r="88" spans="2:12" x14ac:dyDescent="0.25">
      <c r="B88" s="22"/>
      <c r="C88" s="23"/>
      <c r="D88" s="24"/>
      <c r="E88" s="25"/>
      <c r="F88" s="26"/>
      <c r="G88" s="27"/>
      <c r="H88" s="28"/>
      <c r="I88" s="27"/>
      <c r="J88" s="27"/>
      <c r="K88" s="26"/>
      <c r="L88" s="32"/>
    </row>
    <row r="89" spans="2:12" x14ac:dyDescent="0.25">
      <c r="B89" s="22"/>
      <c r="C89" s="23"/>
      <c r="D89" s="24"/>
      <c r="E89" s="25"/>
      <c r="F89" s="26"/>
      <c r="G89" s="27"/>
      <c r="H89" s="28"/>
      <c r="I89" s="27"/>
      <c r="J89" s="27"/>
      <c r="K89" s="26"/>
      <c r="L89" s="32"/>
    </row>
    <row r="90" spans="2:12" x14ac:dyDescent="0.25">
      <c r="B90" s="22"/>
      <c r="C90" s="23"/>
      <c r="D90" s="24"/>
      <c r="E90" s="25"/>
      <c r="F90" s="26"/>
      <c r="G90" s="27"/>
      <c r="H90" s="28"/>
      <c r="I90" s="27"/>
      <c r="J90" s="27"/>
      <c r="K90" s="26"/>
      <c r="L90" s="32"/>
    </row>
    <row r="91" spans="2:12" x14ac:dyDescent="0.25">
      <c r="B91" s="22"/>
      <c r="C91" s="23"/>
      <c r="D91" s="24"/>
      <c r="E91" s="25"/>
      <c r="F91" s="26"/>
      <c r="G91" s="27"/>
      <c r="H91" s="28"/>
      <c r="I91" s="27"/>
      <c r="J91" s="27"/>
      <c r="K91" s="26"/>
      <c r="L91" s="32"/>
    </row>
    <row r="92" spans="2:12" x14ac:dyDescent="0.25">
      <c r="B92" s="22"/>
      <c r="C92" s="23"/>
      <c r="D92" s="24"/>
      <c r="E92" s="25"/>
      <c r="F92" s="26"/>
      <c r="G92" s="27"/>
      <c r="H92" s="28"/>
      <c r="I92" s="27"/>
      <c r="J92" s="27"/>
      <c r="K92" s="26"/>
      <c r="L92" s="32"/>
    </row>
    <row r="93" spans="2:12" x14ac:dyDescent="0.25">
      <c r="B93" s="22"/>
      <c r="C93" s="23"/>
      <c r="D93" s="24"/>
      <c r="E93" s="25"/>
      <c r="F93" s="26"/>
      <c r="G93" s="27"/>
      <c r="H93" s="28"/>
      <c r="I93" s="27"/>
      <c r="J93" s="27"/>
      <c r="K93" s="26"/>
      <c r="L93" s="32"/>
    </row>
    <row r="94" spans="2:12" x14ac:dyDescent="0.25">
      <c r="B94" s="22"/>
      <c r="C94" s="23"/>
      <c r="D94" s="24"/>
      <c r="E94" s="25"/>
      <c r="F94" s="26"/>
      <c r="G94" s="27"/>
      <c r="H94" s="28"/>
      <c r="I94" s="27"/>
      <c r="J94" s="27"/>
      <c r="K94" s="26"/>
      <c r="L94" s="32"/>
    </row>
    <row r="95" spans="2:12" x14ac:dyDescent="0.25">
      <c r="B95" s="22"/>
      <c r="C95" s="23"/>
      <c r="D95" s="24"/>
      <c r="E95" s="25"/>
      <c r="F95" s="26"/>
      <c r="G95" s="27"/>
      <c r="H95" s="28"/>
      <c r="I95" s="27"/>
      <c r="J95" s="27"/>
      <c r="K95" s="26"/>
      <c r="L95" s="32"/>
    </row>
    <row r="96" spans="2:12" x14ac:dyDescent="0.25">
      <c r="B96" s="22"/>
      <c r="C96" s="23"/>
      <c r="D96" s="24"/>
      <c r="E96" s="25"/>
      <c r="F96" s="26"/>
      <c r="G96" s="27"/>
      <c r="H96" s="28"/>
      <c r="I96" s="27"/>
      <c r="J96" s="27"/>
      <c r="K96" s="26"/>
      <c r="L96" s="32"/>
    </row>
    <row r="97" spans="2:12" x14ac:dyDescent="0.25">
      <c r="B97" s="22"/>
      <c r="C97" s="23"/>
      <c r="D97" s="24"/>
      <c r="E97" s="25"/>
      <c r="F97" s="26"/>
      <c r="G97" s="27"/>
      <c r="H97" s="28"/>
      <c r="I97" s="27"/>
      <c r="J97" s="27"/>
      <c r="K97" s="26"/>
      <c r="L97" s="32"/>
    </row>
    <row r="98" spans="2:12" x14ac:dyDescent="0.25">
      <c r="B98" s="22"/>
      <c r="C98" s="23"/>
      <c r="D98" s="24"/>
      <c r="E98" s="25"/>
      <c r="F98" s="26"/>
      <c r="G98" s="27"/>
      <c r="H98" s="28"/>
      <c r="I98" s="27"/>
      <c r="J98" s="27"/>
      <c r="K98" s="26"/>
      <c r="L98" s="32"/>
    </row>
    <row r="99" spans="2:12" x14ac:dyDescent="0.25">
      <c r="B99" s="22"/>
      <c r="C99" s="23"/>
      <c r="D99" s="24"/>
      <c r="E99" s="25"/>
      <c r="F99" s="26"/>
      <c r="G99" s="27"/>
      <c r="H99" s="28"/>
      <c r="I99" s="27"/>
      <c r="J99" s="27"/>
      <c r="K99" s="26"/>
      <c r="L99" s="32"/>
    </row>
    <row r="100" spans="2:12" x14ac:dyDescent="0.25">
      <c r="B100" s="22"/>
      <c r="C100" s="23"/>
      <c r="D100" s="24"/>
      <c r="E100" s="25"/>
      <c r="F100" s="26"/>
      <c r="G100" s="27"/>
      <c r="H100" s="28"/>
      <c r="I100" s="27"/>
      <c r="J100" s="27"/>
      <c r="K100" s="26"/>
      <c r="L100" s="32"/>
    </row>
    <row r="101" spans="2:12" x14ac:dyDescent="0.25">
      <c r="B101" s="22"/>
      <c r="C101" s="23"/>
      <c r="D101" s="24"/>
      <c r="E101" s="25"/>
      <c r="F101" s="26"/>
      <c r="G101" s="27"/>
      <c r="H101" s="28"/>
      <c r="I101" s="27"/>
      <c r="J101" s="27"/>
      <c r="K101" s="26"/>
      <c r="L101" s="32"/>
    </row>
    <row r="102" spans="2:12" x14ac:dyDescent="0.25">
      <c r="B102" s="22"/>
      <c r="C102" s="23"/>
      <c r="D102" s="24"/>
      <c r="E102" s="25"/>
      <c r="F102" s="26"/>
      <c r="G102" s="27"/>
      <c r="H102" s="28"/>
      <c r="I102" s="27"/>
      <c r="J102" s="27"/>
      <c r="K102" s="26"/>
      <c r="L102" s="32"/>
    </row>
    <row r="103" spans="2:12" x14ac:dyDescent="0.25">
      <c r="B103" s="22"/>
      <c r="C103" s="23"/>
      <c r="D103" s="24"/>
      <c r="E103" s="25"/>
      <c r="F103" s="26"/>
      <c r="G103" s="27"/>
      <c r="H103" s="28"/>
      <c r="I103" s="27"/>
      <c r="J103" s="27"/>
      <c r="K103" s="26"/>
      <c r="L103" s="32"/>
    </row>
    <row r="104" spans="2:12" x14ac:dyDescent="0.25">
      <c r="B104" s="22"/>
      <c r="C104" s="23"/>
      <c r="D104" s="24"/>
      <c r="E104" s="25"/>
      <c r="F104" s="26"/>
      <c r="G104" s="27"/>
      <c r="H104" s="28"/>
      <c r="I104" s="27"/>
      <c r="J104" s="27"/>
      <c r="K104" s="26"/>
      <c r="L104" s="32"/>
    </row>
    <row r="105" spans="2:12" x14ac:dyDescent="0.25">
      <c r="B105" s="22"/>
      <c r="C105" s="23"/>
      <c r="D105" s="24"/>
      <c r="E105" s="25"/>
      <c r="F105" s="26"/>
      <c r="G105" s="27"/>
      <c r="H105" s="28"/>
      <c r="I105" s="27"/>
      <c r="J105" s="27"/>
      <c r="K105" s="26"/>
      <c r="L105" s="32"/>
    </row>
    <row r="106" spans="2:12" x14ac:dyDescent="0.25">
      <c r="B106" s="22"/>
      <c r="C106" s="23"/>
      <c r="D106" s="24"/>
      <c r="E106" s="25"/>
      <c r="F106" s="26"/>
      <c r="G106" s="27"/>
      <c r="H106" s="28"/>
      <c r="I106" s="27"/>
      <c r="J106" s="27"/>
      <c r="K106" s="26"/>
      <c r="L106" s="32"/>
    </row>
    <row r="107" spans="2:12" x14ac:dyDescent="0.25">
      <c r="B107" s="22"/>
      <c r="C107" s="23"/>
      <c r="D107" s="24"/>
      <c r="E107" s="25"/>
      <c r="F107" s="26"/>
      <c r="G107" s="27"/>
      <c r="H107" s="28"/>
      <c r="I107" s="27"/>
      <c r="J107" s="27"/>
      <c r="K107" s="26"/>
      <c r="L107" s="32"/>
    </row>
    <row r="108" spans="2:12" x14ac:dyDescent="0.25">
      <c r="B108" s="22"/>
      <c r="C108" s="23"/>
      <c r="D108" s="24"/>
      <c r="E108" s="25"/>
      <c r="F108" s="26"/>
      <c r="G108" s="27"/>
      <c r="H108" s="28"/>
      <c r="I108" s="27"/>
      <c r="J108" s="27"/>
      <c r="K108" s="26"/>
      <c r="L108" s="32"/>
    </row>
    <row r="109" spans="2:12" x14ac:dyDescent="0.25">
      <c r="B109" s="22"/>
      <c r="C109" s="23"/>
      <c r="D109" s="24"/>
      <c r="E109" s="25"/>
      <c r="F109" s="26"/>
      <c r="G109" s="27"/>
      <c r="H109" s="28"/>
      <c r="I109" s="27"/>
      <c r="J109" s="27"/>
      <c r="K109" s="26"/>
      <c r="L109" s="32"/>
    </row>
    <row r="110" spans="2:12" x14ac:dyDescent="0.25">
      <c r="B110" s="22"/>
      <c r="C110" s="23"/>
      <c r="D110" s="24"/>
      <c r="E110" s="25"/>
      <c r="F110" s="26"/>
      <c r="G110" s="27"/>
      <c r="H110" s="28"/>
      <c r="I110" s="27"/>
      <c r="J110" s="27"/>
      <c r="K110" s="26"/>
      <c r="L110" s="32"/>
    </row>
    <row r="111" spans="2:12" x14ac:dyDescent="0.25">
      <c r="B111" s="22"/>
      <c r="C111" s="23"/>
      <c r="D111" s="24"/>
      <c r="E111" s="25"/>
      <c r="F111" s="26"/>
      <c r="G111" s="27"/>
      <c r="H111" s="28"/>
      <c r="I111" s="27"/>
      <c r="J111" s="27"/>
      <c r="K111" s="26"/>
      <c r="L111" s="32"/>
    </row>
    <row r="112" spans="2:12" x14ac:dyDescent="0.25">
      <c r="B112" s="22"/>
      <c r="C112" s="23"/>
      <c r="D112" s="24"/>
      <c r="E112" s="25"/>
      <c r="F112" s="26"/>
      <c r="G112" s="27"/>
      <c r="H112" s="28"/>
      <c r="I112" s="27"/>
      <c r="J112" s="27"/>
      <c r="K112" s="26"/>
      <c r="L112" s="32"/>
    </row>
    <row r="113" spans="2:12" x14ac:dyDescent="0.25">
      <c r="B113" s="22"/>
      <c r="C113" s="23"/>
      <c r="D113" s="24"/>
      <c r="E113" s="25"/>
      <c r="F113" s="26"/>
      <c r="G113" s="27"/>
      <c r="H113" s="28"/>
      <c r="I113" s="27"/>
      <c r="J113" s="27"/>
      <c r="K113" s="26"/>
      <c r="L113" s="32"/>
    </row>
    <row r="114" spans="2:12" x14ac:dyDescent="0.25">
      <c r="B114" s="22"/>
      <c r="C114" s="23"/>
      <c r="D114" s="24"/>
      <c r="E114" s="25"/>
      <c r="F114" s="26"/>
      <c r="G114" s="27"/>
      <c r="H114" s="28"/>
      <c r="I114" s="27"/>
      <c r="J114" s="27"/>
      <c r="K114" s="26"/>
      <c r="L114" s="32"/>
    </row>
    <row r="115" spans="2:12" x14ac:dyDescent="0.25">
      <c r="B115" s="22"/>
      <c r="C115" s="23"/>
      <c r="D115" s="24"/>
      <c r="E115" s="25"/>
      <c r="F115" s="26"/>
      <c r="G115" s="27"/>
      <c r="H115" s="28"/>
      <c r="I115" s="27"/>
      <c r="J115" s="27"/>
      <c r="K115" s="26"/>
      <c r="L115" s="32"/>
    </row>
    <row r="116" spans="2:12" x14ac:dyDescent="0.25">
      <c r="B116" s="22"/>
      <c r="C116" s="23"/>
      <c r="D116" s="24"/>
      <c r="E116" s="25"/>
      <c r="F116" s="25"/>
      <c r="G116" s="27"/>
      <c r="H116" s="28"/>
      <c r="I116" s="27"/>
      <c r="J116" s="27"/>
      <c r="K116" s="25"/>
      <c r="L116" s="32"/>
    </row>
    <row r="117" spans="2:12" x14ac:dyDescent="0.25">
      <c r="B117" s="22"/>
      <c r="C117" s="23"/>
      <c r="D117" s="24"/>
      <c r="E117" s="25"/>
      <c r="F117" s="26"/>
      <c r="G117" s="27"/>
      <c r="H117" s="28"/>
      <c r="I117" s="27"/>
      <c r="J117" s="27"/>
      <c r="K117" s="26"/>
      <c r="L117" s="32"/>
    </row>
    <row r="118" spans="2:12" x14ac:dyDescent="0.25">
      <c r="B118" s="22"/>
      <c r="C118" s="23"/>
      <c r="D118" s="24"/>
      <c r="E118" s="25"/>
      <c r="F118" s="26"/>
      <c r="G118" s="27"/>
      <c r="H118" s="28"/>
      <c r="I118" s="27"/>
      <c r="J118" s="27"/>
      <c r="K118" s="26"/>
      <c r="L118" s="32"/>
    </row>
    <row r="119" spans="2:12" x14ac:dyDescent="0.25">
      <c r="B119" s="22"/>
      <c r="C119" s="23"/>
      <c r="D119" s="24"/>
      <c r="E119" s="25"/>
      <c r="F119" s="25"/>
      <c r="G119" s="27"/>
      <c r="H119" s="28"/>
      <c r="I119" s="27"/>
      <c r="J119" s="27"/>
      <c r="K119" s="25"/>
      <c r="L119" s="32"/>
    </row>
    <row r="120" spans="2:12" x14ac:dyDescent="0.25">
      <c r="B120" s="22"/>
      <c r="C120" s="23"/>
      <c r="D120" s="24"/>
      <c r="E120" s="25"/>
      <c r="F120" s="26"/>
      <c r="G120" s="27"/>
      <c r="H120" s="28"/>
      <c r="I120" s="27"/>
      <c r="J120" s="27"/>
      <c r="K120" s="26"/>
      <c r="L120" s="32"/>
    </row>
    <row r="121" spans="2:12" x14ac:dyDescent="0.25">
      <c r="B121" s="22"/>
      <c r="C121" s="23"/>
      <c r="D121" s="24"/>
      <c r="E121" s="25"/>
      <c r="F121" s="25"/>
      <c r="G121" s="27"/>
      <c r="H121" s="28"/>
      <c r="I121" s="27"/>
      <c r="J121" s="27"/>
      <c r="K121" s="25"/>
      <c r="L121" s="32"/>
    </row>
    <row r="122" spans="2:12" x14ac:dyDescent="0.25">
      <c r="B122" s="22"/>
      <c r="C122" s="23"/>
      <c r="D122" s="24"/>
      <c r="E122" s="25"/>
      <c r="F122" s="26"/>
      <c r="G122" s="27"/>
      <c r="H122" s="28"/>
      <c r="I122" s="27"/>
      <c r="J122" s="27"/>
      <c r="K122" s="26"/>
      <c r="L122" s="32"/>
    </row>
    <row r="123" spans="2:12" x14ac:dyDescent="0.25">
      <c r="B123" s="22"/>
      <c r="C123" s="23"/>
      <c r="D123" s="24"/>
      <c r="E123" s="25"/>
      <c r="F123" s="26"/>
      <c r="G123" s="27"/>
      <c r="H123" s="28"/>
      <c r="I123" s="27"/>
      <c r="J123" s="27"/>
      <c r="K123" s="26"/>
      <c r="L123" s="32"/>
    </row>
    <row r="124" spans="2:12" x14ac:dyDescent="0.25">
      <c r="B124" s="22"/>
      <c r="C124" s="23"/>
      <c r="D124" s="24"/>
      <c r="E124" s="25"/>
      <c r="F124" s="26"/>
      <c r="G124" s="27"/>
      <c r="H124" s="28"/>
      <c r="I124" s="27"/>
      <c r="J124" s="27"/>
      <c r="K124" s="26"/>
      <c r="L124" s="32"/>
    </row>
    <row r="125" spans="2:12" x14ac:dyDescent="0.25">
      <c r="B125" s="22"/>
      <c r="C125" s="23"/>
      <c r="D125" s="24"/>
      <c r="E125" s="25"/>
      <c r="F125" s="25"/>
      <c r="G125" s="27"/>
      <c r="H125" s="28"/>
      <c r="I125" s="27"/>
      <c r="J125" s="27"/>
      <c r="K125" s="25"/>
      <c r="L125" s="32"/>
    </row>
    <row r="126" spans="2:12" x14ac:dyDescent="0.25">
      <c r="B126" s="22"/>
      <c r="C126" s="23"/>
      <c r="D126" s="24"/>
      <c r="E126" s="25"/>
      <c r="F126" s="25"/>
      <c r="G126" s="27"/>
      <c r="H126" s="28"/>
      <c r="I126" s="27"/>
      <c r="J126" s="27"/>
      <c r="K126" s="25"/>
      <c r="L126" s="32"/>
    </row>
    <row r="127" spans="2:12" x14ac:dyDescent="0.25">
      <c r="B127" s="22"/>
      <c r="C127" s="23"/>
      <c r="D127" s="24"/>
      <c r="E127" s="25"/>
      <c r="F127" s="25"/>
      <c r="G127" s="27"/>
      <c r="H127" s="28"/>
      <c r="I127" s="27"/>
      <c r="J127" s="27"/>
      <c r="K127" s="25"/>
      <c r="L127" s="32"/>
    </row>
    <row r="128" spans="2:12" x14ac:dyDescent="0.25">
      <c r="B128" s="22"/>
      <c r="C128" s="23"/>
      <c r="D128" s="24"/>
      <c r="E128" s="25"/>
      <c r="F128" s="25"/>
      <c r="G128" s="27"/>
      <c r="H128" s="28"/>
      <c r="I128" s="27"/>
      <c r="J128" s="27"/>
      <c r="K128" s="25"/>
      <c r="L128" s="32"/>
    </row>
    <row r="129" spans="2:12" x14ac:dyDescent="0.25">
      <c r="B129" s="22"/>
      <c r="C129" s="23"/>
      <c r="D129" s="24"/>
      <c r="E129" s="25"/>
      <c r="F129" s="25"/>
      <c r="G129" s="27"/>
      <c r="H129" s="28"/>
      <c r="I129" s="27"/>
      <c r="J129" s="27"/>
      <c r="K129" s="25"/>
      <c r="L129" s="32"/>
    </row>
    <row r="130" spans="2:12" x14ac:dyDescent="0.25">
      <c r="B130" s="22"/>
      <c r="C130" s="23"/>
      <c r="D130" s="24"/>
      <c r="E130" s="25"/>
      <c r="F130" s="25"/>
      <c r="G130" s="27"/>
      <c r="H130" s="28"/>
      <c r="I130" s="27"/>
      <c r="J130" s="27"/>
      <c r="K130" s="25"/>
      <c r="L130" s="32"/>
    </row>
    <row r="131" spans="2:12" x14ac:dyDescent="0.25">
      <c r="B131" s="22"/>
      <c r="C131" s="23"/>
      <c r="D131" s="24"/>
      <c r="E131" s="25"/>
      <c r="F131" s="25"/>
      <c r="G131" s="27"/>
      <c r="H131" s="28"/>
      <c r="I131" s="27"/>
      <c r="J131" s="27"/>
      <c r="K131" s="25"/>
      <c r="L131" s="32"/>
    </row>
    <row r="132" spans="2:12" x14ac:dyDescent="0.25">
      <c r="B132" s="22"/>
      <c r="C132" s="23"/>
      <c r="D132" s="24"/>
      <c r="E132" s="25"/>
      <c r="F132" s="25"/>
      <c r="G132" s="27"/>
      <c r="H132" s="28"/>
      <c r="I132" s="27"/>
      <c r="J132" s="27"/>
      <c r="K132" s="25"/>
      <c r="L132" s="32"/>
    </row>
    <row r="133" spans="2:12" x14ac:dyDescent="0.25">
      <c r="B133" s="22"/>
      <c r="C133" s="23"/>
      <c r="D133" s="24"/>
      <c r="E133" s="25"/>
      <c r="F133" s="25"/>
      <c r="G133" s="27"/>
      <c r="H133" s="28"/>
      <c r="I133" s="27"/>
      <c r="J133" s="27"/>
      <c r="K133" s="25"/>
      <c r="L133" s="32"/>
    </row>
    <row r="134" spans="2:12" x14ac:dyDescent="0.25">
      <c r="B134" s="22"/>
      <c r="C134" s="23"/>
      <c r="D134" s="24"/>
      <c r="E134" s="25"/>
      <c r="F134" s="25"/>
      <c r="G134" s="27"/>
      <c r="H134" s="28"/>
      <c r="I134" s="27"/>
      <c r="J134" s="27"/>
      <c r="K134" s="25"/>
      <c r="L134" s="32"/>
    </row>
    <row r="135" spans="2:12" x14ac:dyDescent="0.25">
      <c r="B135" s="22"/>
      <c r="C135" s="23"/>
      <c r="D135" s="24"/>
      <c r="E135" s="25"/>
      <c r="F135" s="25"/>
      <c r="G135" s="27"/>
      <c r="H135" s="28"/>
      <c r="I135" s="27"/>
      <c r="J135" s="27"/>
      <c r="K135" s="25"/>
      <c r="L135" s="32"/>
    </row>
    <row r="136" spans="2:12" x14ac:dyDescent="0.25">
      <c r="B136" s="22"/>
      <c r="C136" s="23"/>
      <c r="D136" s="24"/>
      <c r="E136" s="25"/>
      <c r="F136" s="25"/>
      <c r="G136" s="27"/>
      <c r="H136" s="28"/>
      <c r="I136" s="27"/>
      <c r="J136" s="27"/>
      <c r="K136" s="25"/>
      <c r="L136" s="32"/>
    </row>
    <row r="137" spans="2:12" x14ac:dyDescent="0.25">
      <c r="B137" s="22"/>
      <c r="C137" s="23"/>
      <c r="D137" s="24"/>
      <c r="E137" s="25"/>
      <c r="F137" s="25"/>
      <c r="G137" s="27"/>
      <c r="H137" s="28"/>
      <c r="I137" s="27"/>
      <c r="J137" s="27"/>
      <c r="K137" s="25"/>
      <c r="L137" s="32"/>
    </row>
    <row r="138" spans="2:12" x14ac:dyDescent="0.25">
      <c r="B138" s="22"/>
      <c r="C138" s="23"/>
      <c r="D138" s="24"/>
      <c r="E138" s="25"/>
      <c r="F138" s="25"/>
      <c r="G138" s="27"/>
      <c r="H138" s="28"/>
      <c r="I138" s="27"/>
      <c r="J138" s="27"/>
      <c r="K138" s="25"/>
      <c r="L138" s="32"/>
    </row>
    <row r="139" spans="2:12" x14ac:dyDescent="0.25">
      <c r="B139" s="22"/>
      <c r="C139" s="23"/>
      <c r="D139" s="24"/>
      <c r="E139" s="25"/>
      <c r="F139" s="25"/>
      <c r="G139" s="27"/>
      <c r="H139" s="28"/>
      <c r="I139" s="27"/>
      <c r="J139" s="27"/>
      <c r="K139" s="25"/>
      <c r="L139" s="32"/>
    </row>
    <row r="140" spans="2:12" x14ac:dyDescent="0.25">
      <c r="B140" s="22"/>
      <c r="C140" s="23"/>
      <c r="D140" s="24"/>
      <c r="E140" s="25"/>
      <c r="F140" s="25"/>
      <c r="G140" s="27"/>
      <c r="H140" s="28"/>
      <c r="I140" s="27"/>
      <c r="J140" s="27"/>
      <c r="K140" s="25"/>
      <c r="L140" s="32"/>
    </row>
    <row r="141" spans="2:12" x14ac:dyDescent="0.25">
      <c r="B141" s="22"/>
      <c r="C141" s="23"/>
      <c r="D141" s="24"/>
      <c r="E141" s="25"/>
      <c r="F141" s="25"/>
      <c r="G141" s="27"/>
      <c r="H141" s="28"/>
      <c r="I141" s="27"/>
      <c r="J141" s="27"/>
      <c r="K141" s="25"/>
      <c r="L141" s="32"/>
    </row>
    <row r="142" spans="2:12" x14ac:dyDescent="0.25">
      <c r="B142" s="22"/>
      <c r="C142" s="23"/>
      <c r="D142" s="24"/>
      <c r="E142" s="25"/>
      <c r="F142" s="25"/>
      <c r="G142" s="27"/>
      <c r="H142" s="28"/>
      <c r="I142" s="27"/>
      <c r="J142" s="27"/>
      <c r="K142" s="25"/>
      <c r="L142" s="32"/>
    </row>
    <row r="143" spans="2:12" x14ac:dyDescent="0.25">
      <c r="B143" s="22"/>
      <c r="C143" s="23"/>
      <c r="D143" s="24"/>
      <c r="E143" s="25"/>
      <c r="F143" s="25"/>
      <c r="G143" s="27"/>
      <c r="H143" s="28"/>
      <c r="I143" s="27"/>
      <c r="J143" s="27"/>
      <c r="K143" s="25"/>
      <c r="L143" s="32"/>
    </row>
    <row r="144" spans="2:12" ht="12.75" x14ac:dyDescent="0.2">
      <c r="L144" s="40"/>
    </row>
    <row r="145" spans="12:12" ht="12.75" x14ac:dyDescent="0.2">
      <c r="L145" s="40"/>
    </row>
    <row r="146" spans="12:12" ht="12.75" x14ac:dyDescent="0.2">
      <c r="L146" s="40"/>
    </row>
    <row r="147" spans="12:12" ht="12.75" x14ac:dyDescent="0.2">
      <c r="L147" s="40"/>
    </row>
    <row r="148" spans="12:12" ht="12.75" x14ac:dyDescent="0.2">
      <c r="L148" s="40"/>
    </row>
    <row r="149" spans="12:12" ht="12.75" x14ac:dyDescent="0.2">
      <c r="L149" s="40"/>
    </row>
    <row r="150" spans="12:12" ht="12.75" x14ac:dyDescent="0.2">
      <c r="L150" s="40"/>
    </row>
    <row r="151" spans="12:12" ht="12.75" x14ac:dyDescent="0.2">
      <c r="L151" s="40"/>
    </row>
    <row r="152" spans="12:12" ht="12.75" x14ac:dyDescent="0.2">
      <c r="L152" s="40"/>
    </row>
    <row r="153" spans="12:12" ht="12.75" x14ac:dyDescent="0.2">
      <c r="L153" s="40"/>
    </row>
    <row r="154" spans="12:12" ht="12.75" x14ac:dyDescent="0.2">
      <c r="L154" s="40"/>
    </row>
    <row r="155" spans="12:12" ht="12.75" x14ac:dyDescent="0.2">
      <c r="L155" s="40"/>
    </row>
    <row r="156" spans="12:12" ht="12.75" x14ac:dyDescent="0.2">
      <c r="L156" s="40"/>
    </row>
    <row r="157" spans="12:12" ht="12.75" x14ac:dyDescent="0.2">
      <c r="L157" s="40"/>
    </row>
    <row r="158" spans="12:12" ht="12.75" x14ac:dyDescent="0.2">
      <c r="L158" s="40"/>
    </row>
    <row r="159" spans="12:12" ht="12.75" x14ac:dyDescent="0.2">
      <c r="L159" s="40"/>
    </row>
    <row r="160" spans="12:12" ht="12.75" x14ac:dyDescent="0.2">
      <c r="L160" s="40"/>
    </row>
    <row r="161" spans="12:12" ht="12.75" x14ac:dyDescent="0.2">
      <c r="L161" s="40"/>
    </row>
    <row r="162" spans="12:12" ht="12.75" x14ac:dyDescent="0.2">
      <c r="L162" s="40"/>
    </row>
    <row r="163" spans="12:12" ht="12.75" x14ac:dyDescent="0.2">
      <c r="L163" s="40"/>
    </row>
    <row r="164" spans="12:12" ht="12.75" x14ac:dyDescent="0.2">
      <c r="L164" s="40"/>
    </row>
    <row r="165" spans="12:12" ht="12.75" x14ac:dyDescent="0.2">
      <c r="L165" s="40"/>
    </row>
    <row r="166" spans="12:12" ht="12.75" x14ac:dyDescent="0.2">
      <c r="L166" s="40"/>
    </row>
    <row r="167" spans="12:12" ht="12.75" x14ac:dyDescent="0.2">
      <c r="L167" s="40"/>
    </row>
    <row r="168" spans="12:12" ht="12.75" x14ac:dyDescent="0.2">
      <c r="L168" s="40"/>
    </row>
    <row r="169" spans="12:12" ht="12.75" x14ac:dyDescent="0.2">
      <c r="L169" s="40"/>
    </row>
    <row r="170" spans="12:12" ht="12.75" x14ac:dyDescent="0.2">
      <c r="L170" s="40"/>
    </row>
    <row r="171" spans="12:12" ht="12.75" x14ac:dyDescent="0.2">
      <c r="L171" s="40"/>
    </row>
    <row r="172" spans="12:12" ht="12.75" x14ac:dyDescent="0.2">
      <c r="L172" s="40"/>
    </row>
    <row r="173" spans="12:12" ht="12.75" x14ac:dyDescent="0.2">
      <c r="L173" s="40"/>
    </row>
    <row r="174" spans="12:12" ht="12.75" x14ac:dyDescent="0.2">
      <c r="L174" s="40"/>
    </row>
    <row r="175" spans="12:12" ht="12.75" x14ac:dyDescent="0.2">
      <c r="L175" s="40"/>
    </row>
    <row r="176" spans="12:12" ht="12.75" x14ac:dyDescent="0.2">
      <c r="L176" s="40"/>
    </row>
    <row r="177" spans="12:12" ht="12.75" x14ac:dyDescent="0.2">
      <c r="L177" s="40"/>
    </row>
    <row r="178" spans="12:12" ht="12.75" x14ac:dyDescent="0.2">
      <c r="L178" s="40"/>
    </row>
    <row r="179" spans="12:12" ht="12.75" x14ac:dyDescent="0.2">
      <c r="L179" s="40"/>
    </row>
    <row r="180" spans="12:12" ht="12.75" x14ac:dyDescent="0.2">
      <c r="L180" s="40"/>
    </row>
    <row r="181" spans="12:12" ht="12.75" x14ac:dyDescent="0.2">
      <c r="L181" s="40"/>
    </row>
    <row r="182" spans="12:12" ht="12.75" x14ac:dyDescent="0.2">
      <c r="L182" s="40"/>
    </row>
    <row r="183" spans="12:12" ht="12.75" x14ac:dyDescent="0.2">
      <c r="L183" s="40"/>
    </row>
    <row r="184" spans="12:12" ht="12.75" x14ac:dyDescent="0.2">
      <c r="L184" s="40"/>
    </row>
    <row r="185" spans="12:12" ht="12.75" x14ac:dyDescent="0.2">
      <c r="L185" s="40"/>
    </row>
    <row r="186" spans="12:12" ht="12.75" x14ac:dyDescent="0.2">
      <c r="L186" s="40"/>
    </row>
    <row r="187" spans="12:12" ht="12.75" x14ac:dyDescent="0.2">
      <c r="L187" s="40"/>
    </row>
    <row r="188" spans="12:12" ht="12.75" x14ac:dyDescent="0.2">
      <c r="L188" s="40"/>
    </row>
    <row r="189" spans="12:12" ht="12.75" x14ac:dyDescent="0.2">
      <c r="L189" s="40"/>
    </row>
    <row r="190" spans="12:12" ht="12.75" x14ac:dyDescent="0.2">
      <c r="L190" s="40"/>
    </row>
    <row r="191" spans="12:12" ht="12.75" x14ac:dyDescent="0.2">
      <c r="L191" s="40"/>
    </row>
    <row r="192" spans="12:12" ht="12.75" x14ac:dyDescent="0.2">
      <c r="L192" s="40"/>
    </row>
    <row r="193" spans="12:12" ht="12.75" x14ac:dyDescent="0.2">
      <c r="L193" s="40"/>
    </row>
    <row r="194" spans="12:12" ht="12.75" x14ac:dyDescent="0.2">
      <c r="L194" s="40"/>
    </row>
    <row r="195" spans="12:12" ht="12.75" x14ac:dyDescent="0.2">
      <c r="L195" s="40"/>
    </row>
    <row r="196" spans="12:12" ht="12.75" x14ac:dyDescent="0.2">
      <c r="L196" s="40"/>
    </row>
    <row r="197" spans="12:12" ht="12.75" x14ac:dyDescent="0.2">
      <c r="L197" s="40"/>
    </row>
    <row r="198" spans="12:12" ht="12.75" x14ac:dyDescent="0.2">
      <c r="L198" s="40"/>
    </row>
    <row r="199" spans="12:12" ht="12.75" x14ac:dyDescent="0.2">
      <c r="L199" s="40"/>
    </row>
    <row r="200" spans="12:12" ht="12.75" x14ac:dyDescent="0.2">
      <c r="L200" s="40"/>
    </row>
    <row r="201" spans="12:12" ht="12.75" x14ac:dyDescent="0.2">
      <c r="L201" s="40"/>
    </row>
    <row r="202" spans="12:12" ht="12.75" x14ac:dyDescent="0.2">
      <c r="L202" s="40"/>
    </row>
    <row r="203" spans="12:12" ht="12.75" x14ac:dyDescent="0.2">
      <c r="L203" s="40"/>
    </row>
    <row r="204" spans="12:12" ht="12.75" x14ac:dyDescent="0.2">
      <c r="L204" s="40"/>
    </row>
    <row r="205" spans="12:12" ht="12.75" x14ac:dyDescent="0.2">
      <c r="L205" s="40"/>
    </row>
    <row r="206" spans="12:12" ht="12.75" x14ac:dyDescent="0.2">
      <c r="L206" s="40"/>
    </row>
    <row r="207" spans="12:12" ht="12.75" x14ac:dyDescent="0.2">
      <c r="L207" s="40"/>
    </row>
    <row r="208" spans="12:12" ht="12.75" x14ac:dyDescent="0.2">
      <c r="L208" s="40"/>
    </row>
    <row r="209" spans="12:12" ht="12.75" x14ac:dyDescent="0.2">
      <c r="L209" s="40"/>
    </row>
    <row r="210" spans="12:12" ht="12.75" x14ac:dyDescent="0.2">
      <c r="L210" s="40"/>
    </row>
    <row r="211" spans="12:12" ht="12.75" x14ac:dyDescent="0.2">
      <c r="L211" s="40"/>
    </row>
    <row r="212" spans="12:12" ht="12.75" x14ac:dyDescent="0.2">
      <c r="L212" s="40"/>
    </row>
    <row r="213" spans="12:12" ht="12.75" x14ac:dyDescent="0.2">
      <c r="L213" s="40"/>
    </row>
    <row r="214" spans="12:12" ht="12.75" x14ac:dyDescent="0.2">
      <c r="L214" s="40"/>
    </row>
    <row r="215" spans="12:12" ht="12.75" x14ac:dyDescent="0.2">
      <c r="L215" s="40"/>
    </row>
    <row r="216" spans="12:12" ht="12.75" x14ac:dyDescent="0.2">
      <c r="L216" s="40"/>
    </row>
    <row r="217" spans="12:12" ht="12.75" x14ac:dyDescent="0.2">
      <c r="L217" s="40"/>
    </row>
    <row r="218" spans="12:12" ht="12.75" x14ac:dyDescent="0.2">
      <c r="L218" s="40"/>
    </row>
    <row r="219" spans="12:12" ht="12.75" x14ac:dyDescent="0.2">
      <c r="L219" s="40"/>
    </row>
    <row r="220" spans="12:12" ht="12.75" x14ac:dyDescent="0.2">
      <c r="L220" s="40"/>
    </row>
    <row r="221" spans="12:12" ht="12.75" x14ac:dyDescent="0.2">
      <c r="L221" s="40"/>
    </row>
    <row r="222" spans="12:12" ht="12.75" x14ac:dyDescent="0.2">
      <c r="L222" s="40"/>
    </row>
    <row r="223" spans="12:12" ht="12.75" x14ac:dyDescent="0.2">
      <c r="L223" s="40"/>
    </row>
    <row r="224" spans="12:12" ht="12.75" x14ac:dyDescent="0.2">
      <c r="L224" s="40"/>
    </row>
    <row r="225" spans="12:12" ht="12.75" x14ac:dyDescent="0.2">
      <c r="L225" s="40"/>
    </row>
    <row r="226" spans="12:12" ht="12.75" x14ac:dyDescent="0.2">
      <c r="L226" s="40"/>
    </row>
    <row r="227" spans="12:12" ht="12.75" x14ac:dyDescent="0.2">
      <c r="L227" s="40"/>
    </row>
    <row r="228" spans="12:12" ht="12.75" x14ac:dyDescent="0.2">
      <c r="L228" s="40"/>
    </row>
    <row r="229" spans="12:12" ht="12.75" x14ac:dyDescent="0.2">
      <c r="L229" s="40"/>
    </row>
    <row r="230" spans="12:12" ht="12.75" x14ac:dyDescent="0.2">
      <c r="L230" s="40"/>
    </row>
    <row r="231" spans="12:12" ht="12.75" x14ac:dyDescent="0.2">
      <c r="L231" s="40"/>
    </row>
    <row r="232" spans="12:12" ht="12.75" x14ac:dyDescent="0.2">
      <c r="L232" s="40"/>
    </row>
    <row r="233" spans="12:12" ht="12.75" x14ac:dyDescent="0.2">
      <c r="L233" s="40"/>
    </row>
    <row r="234" spans="12:12" ht="12.75" x14ac:dyDescent="0.2">
      <c r="L234" s="40"/>
    </row>
    <row r="235" spans="12:12" ht="12.75" x14ac:dyDescent="0.2">
      <c r="L235" s="40"/>
    </row>
    <row r="236" spans="12:12" ht="12.75" x14ac:dyDescent="0.2">
      <c r="L236" s="40"/>
    </row>
    <row r="237" spans="12:12" ht="12.75" x14ac:dyDescent="0.2">
      <c r="L237" s="40"/>
    </row>
    <row r="238" spans="12:12" ht="12.75" x14ac:dyDescent="0.2">
      <c r="L238" s="40"/>
    </row>
    <row r="239" spans="12:12" ht="12.75" x14ac:dyDescent="0.2">
      <c r="L239" s="40"/>
    </row>
    <row r="240" spans="12:12" ht="12.75" x14ac:dyDescent="0.2">
      <c r="L240" s="40"/>
    </row>
    <row r="241" spans="12:12" ht="12.75" x14ac:dyDescent="0.2">
      <c r="L241" s="40"/>
    </row>
    <row r="242" spans="12:12" ht="12.75" x14ac:dyDescent="0.2">
      <c r="L242" s="40"/>
    </row>
    <row r="243" spans="12:12" ht="12.75" x14ac:dyDescent="0.2">
      <c r="L243" s="40"/>
    </row>
    <row r="244" spans="12:12" ht="12.75" x14ac:dyDescent="0.2">
      <c r="L244" s="40"/>
    </row>
    <row r="245" spans="12:12" ht="12.75" x14ac:dyDescent="0.2">
      <c r="L245" s="40"/>
    </row>
    <row r="246" spans="12:12" ht="12.75" x14ac:dyDescent="0.2">
      <c r="L246" s="40"/>
    </row>
    <row r="247" spans="12:12" ht="12.75" x14ac:dyDescent="0.2">
      <c r="L247" s="40"/>
    </row>
    <row r="248" spans="12:12" ht="12.75" x14ac:dyDescent="0.2">
      <c r="L248" s="40"/>
    </row>
    <row r="249" spans="12:12" ht="12.75" x14ac:dyDescent="0.2">
      <c r="L249" s="40"/>
    </row>
    <row r="250" spans="12:12" ht="12.75" x14ac:dyDescent="0.2">
      <c r="L250" s="40"/>
    </row>
    <row r="251" spans="12:12" ht="12.75" x14ac:dyDescent="0.2">
      <c r="L251" s="40"/>
    </row>
    <row r="252" spans="12:12" ht="12.75" x14ac:dyDescent="0.2">
      <c r="L252" s="40"/>
    </row>
    <row r="253" spans="12:12" ht="12.75" x14ac:dyDescent="0.2">
      <c r="L253" s="40"/>
    </row>
    <row r="254" spans="12:12" ht="12.75" x14ac:dyDescent="0.2">
      <c r="L254" s="40"/>
    </row>
    <row r="255" spans="12:12" ht="12.75" x14ac:dyDescent="0.2">
      <c r="L255" s="40"/>
    </row>
    <row r="256" spans="12:12" ht="12.75" x14ac:dyDescent="0.2">
      <c r="L256" s="40"/>
    </row>
    <row r="257" spans="12:12" ht="12.75" x14ac:dyDescent="0.2">
      <c r="L257" s="40"/>
    </row>
    <row r="258" spans="12:12" ht="12.75" x14ac:dyDescent="0.2">
      <c r="L258" s="40"/>
    </row>
    <row r="259" spans="12:12" ht="12.75" x14ac:dyDescent="0.2">
      <c r="L259" s="40"/>
    </row>
    <row r="260" spans="12:12" ht="12.75" x14ac:dyDescent="0.2">
      <c r="L260" s="40"/>
    </row>
    <row r="261" spans="12:12" ht="12.75" x14ac:dyDescent="0.2">
      <c r="L261" s="40"/>
    </row>
    <row r="262" spans="12:12" ht="12.75" x14ac:dyDescent="0.2">
      <c r="L262" s="40"/>
    </row>
    <row r="263" spans="12:12" ht="12.75" x14ac:dyDescent="0.2">
      <c r="L263" s="40"/>
    </row>
    <row r="264" spans="12:12" ht="12.75" x14ac:dyDescent="0.2">
      <c r="L264" s="40"/>
    </row>
    <row r="265" spans="12:12" ht="12.75" x14ac:dyDescent="0.2">
      <c r="L265" s="40"/>
    </row>
    <row r="266" spans="12:12" ht="12.75" x14ac:dyDescent="0.2">
      <c r="L266" s="40"/>
    </row>
    <row r="267" spans="12:12" ht="12.75" x14ac:dyDescent="0.2">
      <c r="L267" s="40"/>
    </row>
    <row r="268" spans="12:12" ht="12.75" x14ac:dyDescent="0.2">
      <c r="L268" s="40"/>
    </row>
    <row r="269" spans="12:12" ht="12.75" x14ac:dyDescent="0.2">
      <c r="L269" s="40"/>
    </row>
    <row r="270" spans="12:12" ht="12.75" x14ac:dyDescent="0.2">
      <c r="L270" s="40"/>
    </row>
    <row r="271" spans="12:12" ht="12.75" x14ac:dyDescent="0.2">
      <c r="L271" s="40"/>
    </row>
    <row r="272" spans="12:12" ht="12.75" x14ac:dyDescent="0.2">
      <c r="L272" s="40"/>
    </row>
    <row r="273" spans="12:12" ht="12.75" x14ac:dyDescent="0.2">
      <c r="L273" s="40"/>
    </row>
    <row r="274" spans="12:12" ht="12.75" x14ac:dyDescent="0.2">
      <c r="L274" s="40"/>
    </row>
    <row r="275" spans="12:12" ht="12.75" x14ac:dyDescent="0.2">
      <c r="L275" s="40"/>
    </row>
    <row r="276" spans="12:12" ht="12.75" x14ac:dyDescent="0.2">
      <c r="L276" s="40"/>
    </row>
    <row r="277" spans="12:12" ht="12.75" x14ac:dyDescent="0.2">
      <c r="L277" s="40"/>
    </row>
    <row r="278" spans="12:12" ht="12.75" x14ac:dyDescent="0.2">
      <c r="L278" s="40"/>
    </row>
    <row r="279" spans="12:12" ht="12.75" x14ac:dyDescent="0.2">
      <c r="L279" s="40"/>
    </row>
    <row r="280" spans="12:12" ht="12.75" x14ac:dyDescent="0.2">
      <c r="L280" s="40"/>
    </row>
    <row r="281" spans="12:12" ht="12.75" x14ac:dyDescent="0.2">
      <c r="L281" s="40"/>
    </row>
    <row r="282" spans="12:12" ht="12.75" x14ac:dyDescent="0.2">
      <c r="L282" s="40"/>
    </row>
    <row r="283" spans="12:12" ht="12.75" x14ac:dyDescent="0.2">
      <c r="L283" s="40"/>
    </row>
    <row r="284" spans="12:12" ht="12.75" x14ac:dyDescent="0.2">
      <c r="L284" s="40"/>
    </row>
    <row r="285" spans="12:12" ht="12.75" x14ac:dyDescent="0.2">
      <c r="L285" s="40"/>
    </row>
    <row r="286" spans="12:12" ht="12.75" x14ac:dyDescent="0.2">
      <c r="L286" s="40"/>
    </row>
    <row r="287" spans="12:12" ht="12.75" x14ac:dyDescent="0.2">
      <c r="L287" s="40"/>
    </row>
    <row r="288" spans="12:12" ht="12.75" x14ac:dyDescent="0.2">
      <c r="L288" s="40"/>
    </row>
    <row r="289" spans="12:12" ht="12.75" x14ac:dyDescent="0.2">
      <c r="L289" s="40"/>
    </row>
    <row r="290" spans="12:12" ht="12.75" x14ac:dyDescent="0.2">
      <c r="L290" s="40"/>
    </row>
    <row r="291" spans="12:12" ht="12.75" x14ac:dyDescent="0.2">
      <c r="L291" s="40"/>
    </row>
    <row r="292" spans="12:12" ht="12.75" x14ac:dyDescent="0.2">
      <c r="L292" s="40"/>
    </row>
    <row r="293" spans="12:12" ht="12.75" x14ac:dyDescent="0.2">
      <c r="L293" s="40"/>
    </row>
    <row r="294" spans="12:12" ht="12.75" x14ac:dyDescent="0.2">
      <c r="L294" s="40"/>
    </row>
    <row r="295" spans="12:12" ht="12.75" x14ac:dyDescent="0.2">
      <c r="L295" s="40"/>
    </row>
    <row r="296" spans="12:12" ht="12.75" x14ac:dyDescent="0.2">
      <c r="L296" s="40"/>
    </row>
    <row r="297" spans="12:12" ht="12.75" x14ac:dyDescent="0.2">
      <c r="L297" s="40"/>
    </row>
    <row r="298" spans="12:12" ht="12.75" x14ac:dyDescent="0.2">
      <c r="L298" s="40"/>
    </row>
    <row r="299" spans="12:12" ht="12.75" x14ac:dyDescent="0.2">
      <c r="L299" s="40"/>
    </row>
    <row r="300" spans="12:12" ht="12.75" x14ac:dyDescent="0.2">
      <c r="L300" s="40"/>
    </row>
    <row r="301" spans="12:12" ht="12.75" x14ac:dyDescent="0.2">
      <c r="L301" s="40"/>
    </row>
    <row r="302" spans="12:12" ht="12.75" x14ac:dyDescent="0.2">
      <c r="L302" s="40"/>
    </row>
    <row r="303" spans="12:12" ht="12.75" x14ac:dyDescent="0.2">
      <c r="L303" s="40"/>
    </row>
    <row r="304" spans="12:12" ht="12.75" x14ac:dyDescent="0.2">
      <c r="L304" s="40"/>
    </row>
    <row r="305" spans="12:12" ht="12.75" x14ac:dyDescent="0.2">
      <c r="L305" s="40"/>
    </row>
    <row r="306" spans="12:12" ht="12.75" x14ac:dyDescent="0.2">
      <c r="L306" s="40"/>
    </row>
    <row r="307" spans="12:12" ht="12.75" x14ac:dyDescent="0.2">
      <c r="L307" s="40"/>
    </row>
    <row r="308" spans="12:12" ht="12.75" x14ac:dyDescent="0.2">
      <c r="L308" s="40"/>
    </row>
    <row r="309" spans="12:12" ht="12.75" x14ac:dyDescent="0.2">
      <c r="L309" s="40"/>
    </row>
    <row r="310" spans="12:12" ht="12.75" x14ac:dyDescent="0.2">
      <c r="L310" s="40"/>
    </row>
    <row r="311" spans="12:12" ht="12.75" x14ac:dyDescent="0.2">
      <c r="L311" s="40"/>
    </row>
    <row r="312" spans="12:12" ht="12.75" x14ac:dyDescent="0.2">
      <c r="L312" s="40"/>
    </row>
    <row r="313" spans="12:12" ht="12.75" x14ac:dyDescent="0.2">
      <c r="L313" s="40"/>
    </row>
    <row r="314" spans="12:12" ht="12.75" x14ac:dyDescent="0.2">
      <c r="L314" s="40"/>
    </row>
    <row r="315" spans="12:12" ht="12.75" x14ac:dyDescent="0.2">
      <c r="L315" s="40"/>
    </row>
    <row r="316" spans="12:12" ht="12.75" x14ac:dyDescent="0.2">
      <c r="L316" s="40"/>
    </row>
    <row r="317" spans="12:12" ht="12.75" x14ac:dyDescent="0.2">
      <c r="L317" s="40"/>
    </row>
    <row r="318" spans="12:12" ht="12.75" x14ac:dyDescent="0.2">
      <c r="L318" s="40"/>
    </row>
    <row r="319" spans="12:12" ht="12.75" x14ac:dyDescent="0.2">
      <c r="L319" s="40"/>
    </row>
    <row r="320" spans="12:12" ht="12.75" x14ac:dyDescent="0.2">
      <c r="L320" s="40"/>
    </row>
    <row r="321" spans="12:12" ht="12.75" x14ac:dyDescent="0.2">
      <c r="L321" s="40"/>
    </row>
    <row r="322" spans="12:12" ht="12.75" x14ac:dyDescent="0.2">
      <c r="L322" s="40"/>
    </row>
    <row r="323" spans="12:12" ht="12.75" x14ac:dyDescent="0.2">
      <c r="L323" s="40"/>
    </row>
    <row r="324" spans="12:12" ht="12.75" x14ac:dyDescent="0.2">
      <c r="L324" s="40"/>
    </row>
    <row r="325" spans="12:12" ht="12.75" x14ac:dyDescent="0.2">
      <c r="L325" s="40"/>
    </row>
    <row r="326" spans="12:12" ht="12.75" x14ac:dyDescent="0.2">
      <c r="L326" s="40"/>
    </row>
    <row r="327" spans="12:12" ht="12.75" x14ac:dyDescent="0.2">
      <c r="L327" s="40"/>
    </row>
    <row r="328" spans="12:12" ht="12.75" x14ac:dyDescent="0.2">
      <c r="L328" s="40"/>
    </row>
    <row r="329" spans="12:12" ht="12.75" x14ac:dyDescent="0.2">
      <c r="L329" s="40"/>
    </row>
    <row r="330" spans="12:12" ht="12.75" x14ac:dyDescent="0.2">
      <c r="L330" s="40"/>
    </row>
    <row r="331" spans="12:12" ht="12.75" x14ac:dyDescent="0.2">
      <c r="L331" s="40"/>
    </row>
    <row r="332" spans="12:12" ht="12.75" x14ac:dyDescent="0.2">
      <c r="L332" s="40"/>
    </row>
    <row r="333" spans="12:12" ht="12.75" x14ac:dyDescent="0.2">
      <c r="L333" s="40"/>
    </row>
    <row r="334" spans="12:12" ht="12.75" x14ac:dyDescent="0.2">
      <c r="L334" s="40"/>
    </row>
    <row r="335" spans="12:12" ht="12.75" x14ac:dyDescent="0.2">
      <c r="L335" s="40"/>
    </row>
    <row r="336" spans="12:12" ht="12.75" x14ac:dyDescent="0.2">
      <c r="L336" s="40"/>
    </row>
    <row r="337" spans="12:12" ht="12.75" x14ac:dyDescent="0.2">
      <c r="L337" s="40"/>
    </row>
    <row r="338" spans="12:12" ht="12.75" x14ac:dyDescent="0.2">
      <c r="L338" s="40"/>
    </row>
    <row r="339" spans="12:12" ht="12.75" x14ac:dyDescent="0.2">
      <c r="L339" s="40"/>
    </row>
    <row r="340" spans="12:12" ht="12.75" x14ac:dyDescent="0.2">
      <c r="L340" s="40"/>
    </row>
    <row r="341" spans="12:12" ht="12.75" x14ac:dyDescent="0.2">
      <c r="L341" s="40"/>
    </row>
    <row r="342" spans="12:12" ht="12.75" x14ac:dyDescent="0.2">
      <c r="L342" s="40"/>
    </row>
    <row r="343" spans="12:12" ht="12.75" x14ac:dyDescent="0.2">
      <c r="L343" s="40"/>
    </row>
    <row r="344" spans="12:12" ht="12.75" x14ac:dyDescent="0.2">
      <c r="L344" s="40"/>
    </row>
    <row r="345" spans="12:12" ht="12.75" x14ac:dyDescent="0.2">
      <c r="L345" s="40"/>
    </row>
    <row r="346" spans="12:12" ht="12.75" x14ac:dyDescent="0.2">
      <c r="L346" s="40"/>
    </row>
    <row r="347" spans="12:12" ht="12.75" x14ac:dyDescent="0.2">
      <c r="L347" s="40"/>
    </row>
    <row r="348" spans="12:12" ht="12.75" x14ac:dyDescent="0.2">
      <c r="L348" s="40"/>
    </row>
    <row r="349" spans="12:12" ht="12.75" x14ac:dyDescent="0.2">
      <c r="L349" s="40"/>
    </row>
    <row r="350" spans="12:12" ht="12.75" x14ac:dyDescent="0.2">
      <c r="L350" s="40"/>
    </row>
    <row r="351" spans="12:12" ht="12.75" x14ac:dyDescent="0.2">
      <c r="L351" s="40"/>
    </row>
    <row r="352" spans="12:12" ht="12.75" x14ac:dyDescent="0.2">
      <c r="L352" s="40"/>
    </row>
    <row r="353" spans="12:12" ht="12.75" x14ac:dyDescent="0.2">
      <c r="L353" s="40"/>
    </row>
    <row r="354" spans="12:12" ht="12.75" x14ac:dyDescent="0.2">
      <c r="L354" s="40"/>
    </row>
    <row r="355" spans="12:12" ht="12.75" x14ac:dyDescent="0.2">
      <c r="L355" s="40"/>
    </row>
    <row r="356" spans="12:12" ht="12.75" x14ac:dyDescent="0.2">
      <c r="L356" s="40"/>
    </row>
    <row r="357" spans="12:12" ht="12.75" x14ac:dyDescent="0.2">
      <c r="L357" s="40"/>
    </row>
    <row r="358" spans="12:12" ht="12.75" x14ac:dyDescent="0.2">
      <c r="L358" s="40"/>
    </row>
    <row r="359" spans="12:12" ht="12.75" x14ac:dyDescent="0.2">
      <c r="L359" s="40"/>
    </row>
    <row r="360" spans="12:12" ht="12.75" x14ac:dyDescent="0.2">
      <c r="L360" s="40"/>
    </row>
    <row r="361" spans="12:12" ht="12.75" x14ac:dyDescent="0.2">
      <c r="L361" s="40"/>
    </row>
    <row r="362" spans="12:12" ht="12.75" x14ac:dyDescent="0.2">
      <c r="L362" s="40"/>
    </row>
    <row r="363" spans="12:12" ht="12.75" x14ac:dyDescent="0.2">
      <c r="L363" s="40"/>
    </row>
    <row r="364" spans="12:12" ht="12.75" x14ac:dyDescent="0.2">
      <c r="L364" s="40"/>
    </row>
    <row r="365" spans="12:12" ht="12.75" x14ac:dyDescent="0.2">
      <c r="L365" s="40"/>
    </row>
    <row r="366" spans="12:12" ht="12.75" x14ac:dyDescent="0.2">
      <c r="L366" s="40"/>
    </row>
    <row r="367" spans="12:12" ht="12.75" x14ac:dyDescent="0.2">
      <c r="L367" s="40"/>
    </row>
    <row r="368" spans="12:12" ht="12.75" x14ac:dyDescent="0.2">
      <c r="L368" s="40"/>
    </row>
    <row r="369" spans="12:12" ht="12.75" x14ac:dyDescent="0.2">
      <c r="L369" s="40"/>
    </row>
    <row r="370" spans="12:12" ht="12.75" x14ac:dyDescent="0.2">
      <c r="L370" s="40"/>
    </row>
    <row r="371" spans="12:12" ht="12.75" x14ac:dyDescent="0.2">
      <c r="L371" s="40"/>
    </row>
    <row r="372" spans="12:12" ht="12.75" x14ac:dyDescent="0.2">
      <c r="L372" s="40"/>
    </row>
    <row r="373" spans="12:12" ht="12.75" x14ac:dyDescent="0.2">
      <c r="L373" s="40"/>
    </row>
    <row r="374" spans="12:12" ht="12.75" x14ac:dyDescent="0.2">
      <c r="L374" s="40"/>
    </row>
    <row r="375" spans="12:12" ht="12.75" x14ac:dyDescent="0.2">
      <c r="L375" s="40"/>
    </row>
    <row r="376" spans="12:12" ht="12.75" x14ac:dyDescent="0.2">
      <c r="L376" s="40"/>
    </row>
    <row r="377" spans="12:12" ht="12.75" x14ac:dyDescent="0.2">
      <c r="L377" s="40"/>
    </row>
    <row r="378" spans="12:12" ht="12.75" x14ac:dyDescent="0.2">
      <c r="L378" s="40"/>
    </row>
    <row r="379" spans="12:12" ht="12.75" x14ac:dyDescent="0.2">
      <c r="L379" s="40"/>
    </row>
    <row r="380" spans="12:12" ht="12.75" x14ac:dyDescent="0.2">
      <c r="L380" s="40"/>
    </row>
    <row r="381" spans="12:12" ht="12.75" x14ac:dyDescent="0.2">
      <c r="L381" s="40"/>
    </row>
    <row r="382" spans="12:12" ht="12.75" x14ac:dyDescent="0.2">
      <c r="L382" s="40"/>
    </row>
    <row r="383" spans="12:12" ht="12.75" x14ac:dyDescent="0.2">
      <c r="L383" s="40"/>
    </row>
    <row r="384" spans="12:12" ht="12.75" x14ac:dyDescent="0.2">
      <c r="L384" s="40"/>
    </row>
    <row r="385" spans="12:12" ht="12.75" x14ac:dyDescent="0.2">
      <c r="L385" s="40"/>
    </row>
    <row r="386" spans="12:12" ht="12.75" x14ac:dyDescent="0.2">
      <c r="L386" s="40"/>
    </row>
    <row r="387" spans="12:12" ht="12.75" x14ac:dyDescent="0.2">
      <c r="L387" s="40"/>
    </row>
    <row r="388" spans="12:12" ht="12.75" x14ac:dyDescent="0.2">
      <c r="L388" s="40"/>
    </row>
    <row r="389" spans="12:12" ht="12.75" x14ac:dyDescent="0.2">
      <c r="L389" s="40"/>
    </row>
    <row r="390" spans="12:12" ht="12.75" x14ac:dyDescent="0.2">
      <c r="L390" s="40"/>
    </row>
    <row r="391" spans="12:12" ht="12.75" x14ac:dyDescent="0.2">
      <c r="L391" s="40"/>
    </row>
    <row r="392" spans="12:12" ht="12.75" x14ac:dyDescent="0.2">
      <c r="L392" s="40"/>
    </row>
    <row r="393" spans="12:12" ht="12.75" x14ac:dyDescent="0.2">
      <c r="L393" s="40"/>
    </row>
    <row r="394" spans="12:12" ht="12.75" x14ac:dyDescent="0.2">
      <c r="L394" s="40"/>
    </row>
    <row r="395" spans="12:12" ht="12.75" x14ac:dyDescent="0.2">
      <c r="L395" s="40"/>
    </row>
    <row r="396" spans="12:12" ht="12.75" x14ac:dyDescent="0.2">
      <c r="L396" s="40"/>
    </row>
    <row r="397" spans="12:12" ht="12.75" x14ac:dyDescent="0.2">
      <c r="L397" s="40"/>
    </row>
    <row r="398" spans="12:12" ht="12.75" x14ac:dyDescent="0.2">
      <c r="L398" s="40"/>
    </row>
    <row r="399" spans="12:12" ht="12.75" x14ac:dyDescent="0.2">
      <c r="L399" s="40"/>
    </row>
    <row r="400" spans="12:12" ht="12.75" x14ac:dyDescent="0.2">
      <c r="L400" s="40"/>
    </row>
    <row r="401" spans="12:12" ht="12.75" x14ac:dyDescent="0.2">
      <c r="L401" s="40"/>
    </row>
    <row r="402" spans="12:12" ht="12.75" x14ac:dyDescent="0.2">
      <c r="L402" s="40"/>
    </row>
    <row r="403" spans="12:12" ht="12.75" x14ac:dyDescent="0.2">
      <c r="L403" s="40"/>
    </row>
    <row r="404" spans="12:12" ht="12.75" x14ac:dyDescent="0.2">
      <c r="L404" s="40"/>
    </row>
    <row r="405" spans="12:12" ht="12.75" x14ac:dyDescent="0.2">
      <c r="L405" s="40"/>
    </row>
    <row r="406" spans="12:12" ht="12.75" x14ac:dyDescent="0.2">
      <c r="L406" s="40"/>
    </row>
    <row r="407" spans="12:12" ht="12.75" x14ac:dyDescent="0.2">
      <c r="L407" s="40"/>
    </row>
    <row r="408" spans="12:12" ht="12.75" x14ac:dyDescent="0.2">
      <c r="L408" s="40"/>
    </row>
    <row r="409" spans="12:12" ht="12.75" x14ac:dyDescent="0.2">
      <c r="L409" s="40"/>
    </row>
    <row r="410" spans="12:12" ht="12.75" x14ac:dyDescent="0.2">
      <c r="L410" s="40"/>
    </row>
    <row r="411" spans="12:12" ht="12.75" x14ac:dyDescent="0.2">
      <c r="L411" s="40"/>
    </row>
    <row r="412" spans="12:12" ht="12.75" x14ac:dyDescent="0.2">
      <c r="L412" s="40"/>
    </row>
    <row r="413" spans="12:12" ht="12.75" x14ac:dyDescent="0.2">
      <c r="L413" s="40"/>
    </row>
    <row r="414" spans="12:12" ht="12.75" x14ac:dyDescent="0.2">
      <c r="L414" s="40"/>
    </row>
    <row r="415" spans="12:12" ht="12.75" x14ac:dyDescent="0.2">
      <c r="L415" s="40"/>
    </row>
    <row r="416" spans="12:12" ht="12.75" x14ac:dyDescent="0.2">
      <c r="L416" s="40"/>
    </row>
    <row r="417" spans="12:12" ht="12.75" x14ac:dyDescent="0.2">
      <c r="L417" s="40"/>
    </row>
    <row r="418" spans="12:12" ht="12.75" x14ac:dyDescent="0.2">
      <c r="L418" s="40"/>
    </row>
    <row r="419" spans="12:12" ht="12.75" x14ac:dyDescent="0.2">
      <c r="L419" s="40"/>
    </row>
    <row r="420" spans="12:12" ht="12.75" x14ac:dyDescent="0.2">
      <c r="L420" s="40"/>
    </row>
    <row r="421" spans="12:12" ht="12.75" x14ac:dyDescent="0.2">
      <c r="L421" s="40"/>
    </row>
    <row r="422" spans="12:12" ht="12.75" x14ac:dyDescent="0.2">
      <c r="L422" s="40"/>
    </row>
    <row r="423" spans="12:12" ht="12.75" x14ac:dyDescent="0.2">
      <c r="L423" s="40"/>
    </row>
    <row r="424" spans="12:12" ht="12.75" x14ac:dyDescent="0.2">
      <c r="L424" s="40"/>
    </row>
    <row r="425" spans="12:12" ht="12.75" x14ac:dyDescent="0.2">
      <c r="L425" s="40"/>
    </row>
    <row r="426" spans="12:12" ht="12.75" x14ac:dyDescent="0.2">
      <c r="L426" s="40"/>
    </row>
    <row r="427" spans="12:12" ht="12.75" x14ac:dyDescent="0.2">
      <c r="L427" s="40"/>
    </row>
    <row r="428" spans="12:12" ht="12.75" x14ac:dyDescent="0.2">
      <c r="L428" s="40"/>
    </row>
    <row r="429" spans="12:12" ht="12.75" x14ac:dyDescent="0.2">
      <c r="L429" s="40"/>
    </row>
    <row r="430" spans="12:12" ht="12.75" x14ac:dyDescent="0.2">
      <c r="L430" s="40"/>
    </row>
    <row r="431" spans="12:12" ht="12.75" x14ac:dyDescent="0.2">
      <c r="L431" s="40"/>
    </row>
    <row r="432" spans="12:12" ht="12.75" x14ac:dyDescent="0.2">
      <c r="L432" s="40"/>
    </row>
    <row r="433" spans="12:12" ht="12.75" x14ac:dyDescent="0.2">
      <c r="L433" s="40"/>
    </row>
    <row r="434" spans="12:12" ht="12.75" x14ac:dyDescent="0.2">
      <c r="L434" s="40"/>
    </row>
    <row r="435" spans="12:12" ht="12.75" x14ac:dyDescent="0.2">
      <c r="L435" s="40"/>
    </row>
    <row r="436" spans="12:12" ht="12.75" x14ac:dyDescent="0.2">
      <c r="L436" s="40"/>
    </row>
    <row r="437" spans="12:12" ht="12.75" x14ac:dyDescent="0.2">
      <c r="L437" s="40"/>
    </row>
    <row r="438" spans="12:12" ht="12.75" x14ac:dyDescent="0.2">
      <c r="L438" s="40"/>
    </row>
    <row r="439" spans="12:12" ht="12.75" x14ac:dyDescent="0.2">
      <c r="L439" s="40"/>
    </row>
    <row r="440" spans="12:12" ht="12.75" x14ac:dyDescent="0.2">
      <c r="L440" s="40"/>
    </row>
    <row r="441" spans="12:12" ht="12.75" x14ac:dyDescent="0.2">
      <c r="L441" s="40"/>
    </row>
    <row r="442" spans="12:12" ht="12.75" x14ac:dyDescent="0.2">
      <c r="L442" s="40"/>
    </row>
    <row r="443" spans="12:12" ht="12.75" x14ac:dyDescent="0.2">
      <c r="L443" s="40"/>
    </row>
    <row r="444" spans="12:12" ht="12.75" x14ac:dyDescent="0.2">
      <c r="L444" s="40"/>
    </row>
    <row r="445" spans="12:12" ht="12.75" x14ac:dyDescent="0.2">
      <c r="L445" s="40"/>
    </row>
    <row r="446" spans="12:12" ht="12.75" x14ac:dyDescent="0.2">
      <c r="L446" s="40"/>
    </row>
    <row r="447" spans="12:12" ht="12.75" x14ac:dyDescent="0.2">
      <c r="L447" s="40"/>
    </row>
    <row r="448" spans="12:12" ht="12.75" x14ac:dyDescent="0.2">
      <c r="L448" s="40"/>
    </row>
    <row r="449" spans="12:12" ht="12.75" x14ac:dyDescent="0.2">
      <c r="L449" s="40"/>
    </row>
    <row r="450" spans="12:12" ht="12.75" x14ac:dyDescent="0.2">
      <c r="L450" s="40"/>
    </row>
    <row r="451" spans="12:12" ht="12.75" x14ac:dyDescent="0.2">
      <c r="L451" s="40"/>
    </row>
    <row r="452" spans="12:12" ht="12.75" x14ac:dyDescent="0.2">
      <c r="L452" s="40"/>
    </row>
    <row r="453" spans="12:12" ht="12.75" x14ac:dyDescent="0.2">
      <c r="L453" s="40"/>
    </row>
    <row r="454" spans="12:12" ht="12.75" x14ac:dyDescent="0.2">
      <c r="L454" s="40"/>
    </row>
    <row r="455" spans="12:12" ht="12.75" x14ac:dyDescent="0.2">
      <c r="L455" s="40"/>
    </row>
    <row r="456" spans="12:12" ht="12.75" x14ac:dyDescent="0.2">
      <c r="L456" s="40"/>
    </row>
    <row r="457" spans="12:12" ht="12.75" x14ac:dyDescent="0.2">
      <c r="L457" s="40"/>
    </row>
    <row r="458" spans="12:12" ht="12.75" x14ac:dyDescent="0.2">
      <c r="L458" s="40"/>
    </row>
    <row r="459" spans="12:12" ht="12.75" x14ac:dyDescent="0.2">
      <c r="L459" s="40"/>
    </row>
    <row r="460" spans="12:12" ht="12.75" x14ac:dyDescent="0.2">
      <c r="L460" s="40"/>
    </row>
    <row r="461" spans="12:12" ht="12.75" x14ac:dyDescent="0.2">
      <c r="L461" s="40"/>
    </row>
    <row r="462" spans="12:12" ht="12.75" x14ac:dyDescent="0.2">
      <c r="L462" s="40"/>
    </row>
    <row r="463" spans="12:12" ht="12.75" x14ac:dyDescent="0.2">
      <c r="L463" s="40"/>
    </row>
    <row r="464" spans="12:12" ht="12.75" x14ac:dyDescent="0.2">
      <c r="L464" s="40"/>
    </row>
    <row r="465" spans="12:12" ht="12.75" x14ac:dyDescent="0.2">
      <c r="L465" s="40"/>
    </row>
    <row r="466" spans="12:12" ht="12.75" x14ac:dyDescent="0.2">
      <c r="L466" s="40"/>
    </row>
    <row r="467" spans="12:12" ht="12.75" x14ac:dyDescent="0.2">
      <c r="L467" s="40"/>
    </row>
    <row r="468" spans="12:12" ht="12.75" x14ac:dyDescent="0.2">
      <c r="L468" s="40"/>
    </row>
    <row r="469" spans="12:12" ht="12.75" x14ac:dyDescent="0.2">
      <c r="L469" s="40"/>
    </row>
    <row r="470" spans="12:12" ht="12.75" x14ac:dyDescent="0.2">
      <c r="L470" s="40"/>
    </row>
    <row r="471" spans="12:12" ht="12.75" x14ac:dyDescent="0.2">
      <c r="L471" s="40"/>
    </row>
    <row r="472" spans="12:12" ht="12.75" x14ac:dyDescent="0.2">
      <c r="L472" s="40"/>
    </row>
    <row r="473" spans="12:12" ht="12.75" x14ac:dyDescent="0.2">
      <c r="L473" s="40"/>
    </row>
    <row r="474" spans="12:12" ht="12.75" x14ac:dyDescent="0.2">
      <c r="L474" s="40"/>
    </row>
    <row r="475" spans="12:12" ht="12.75" x14ac:dyDescent="0.2">
      <c r="L475" s="40"/>
    </row>
    <row r="476" spans="12:12" ht="12.75" x14ac:dyDescent="0.2">
      <c r="L476" s="40"/>
    </row>
    <row r="477" spans="12:12" ht="12.75" x14ac:dyDescent="0.2">
      <c r="L477" s="40"/>
    </row>
    <row r="478" spans="12:12" ht="12.75" x14ac:dyDescent="0.2">
      <c r="L478" s="40"/>
    </row>
    <row r="479" spans="12:12" ht="12.75" x14ac:dyDescent="0.2">
      <c r="L479" s="40"/>
    </row>
    <row r="480" spans="12:12" ht="12.75" x14ac:dyDescent="0.2">
      <c r="L480" s="40"/>
    </row>
    <row r="481" spans="12:12" ht="12.75" x14ac:dyDescent="0.2">
      <c r="L481" s="40"/>
    </row>
    <row r="482" spans="12:12" ht="12.75" x14ac:dyDescent="0.2">
      <c r="L482" s="40"/>
    </row>
    <row r="483" spans="12:12" ht="12.75" x14ac:dyDescent="0.2">
      <c r="L483" s="40"/>
    </row>
    <row r="484" spans="12:12" ht="12.75" x14ac:dyDescent="0.2">
      <c r="L484" s="40"/>
    </row>
    <row r="485" spans="12:12" ht="12.75" x14ac:dyDescent="0.2">
      <c r="L485" s="40"/>
    </row>
    <row r="486" spans="12:12" ht="12.75" x14ac:dyDescent="0.2">
      <c r="L486" s="40"/>
    </row>
    <row r="487" spans="12:12" ht="12.75" x14ac:dyDescent="0.2">
      <c r="L487" s="40"/>
    </row>
    <row r="488" spans="12:12" ht="12.75" x14ac:dyDescent="0.2">
      <c r="L488" s="40"/>
    </row>
    <row r="489" spans="12:12" ht="12.75" x14ac:dyDescent="0.2">
      <c r="L489" s="40"/>
    </row>
    <row r="490" spans="12:12" ht="12.75" x14ac:dyDescent="0.2">
      <c r="L490" s="40"/>
    </row>
    <row r="491" spans="12:12" ht="12.75" x14ac:dyDescent="0.2">
      <c r="L491" s="40"/>
    </row>
    <row r="492" spans="12:12" ht="12.75" x14ac:dyDescent="0.2">
      <c r="L492" s="40"/>
    </row>
    <row r="493" spans="12:12" ht="12.75" x14ac:dyDescent="0.2">
      <c r="L493" s="40"/>
    </row>
    <row r="494" spans="12:12" ht="12.75" x14ac:dyDescent="0.2">
      <c r="L494" s="40"/>
    </row>
    <row r="495" spans="12:12" ht="12.75" x14ac:dyDescent="0.2">
      <c r="L495" s="40"/>
    </row>
    <row r="496" spans="12:12" ht="12.75" x14ac:dyDescent="0.2">
      <c r="L496" s="40"/>
    </row>
    <row r="497" spans="12:12" ht="12.75" x14ac:dyDescent="0.2">
      <c r="L497" s="40"/>
    </row>
    <row r="498" spans="12:12" ht="12.75" x14ac:dyDescent="0.2">
      <c r="L498" s="40"/>
    </row>
    <row r="499" spans="12:12" ht="12.75" x14ac:dyDescent="0.2">
      <c r="L499" s="40"/>
    </row>
    <row r="500" spans="12:12" ht="12.75" x14ac:dyDescent="0.2">
      <c r="L500" s="40"/>
    </row>
    <row r="501" spans="12:12" ht="12.75" x14ac:dyDescent="0.2">
      <c r="L501" s="40"/>
    </row>
    <row r="502" spans="12:12" ht="12.75" x14ac:dyDescent="0.2">
      <c r="L502" s="40"/>
    </row>
    <row r="503" spans="12:12" ht="12.75" x14ac:dyDescent="0.2">
      <c r="L503" s="40"/>
    </row>
    <row r="504" spans="12:12" ht="12.75" x14ac:dyDescent="0.2">
      <c r="L504" s="40"/>
    </row>
    <row r="505" spans="12:12" ht="12.75" x14ac:dyDescent="0.2">
      <c r="L505" s="40"/>
    </row>
    <row r="506" spans="12:12" ht="12.75" x14ac:dyDescent="0.2">
      <c r="L506" s="40"/>
    </row>
    <row r="507" spans="12:12" ht="12.75" x14ac:dyDescent="0.2">
      <c r="L507" s="40"/>
    </row>
    <row r="508" spans="12:12" ht="12.75" x14ac:dyDescent="0.2">
      <c r="L508" s="40"/>
    </row>
    <row r="509" spans="12:12" ht="12.75" x14ac:dyDescent="0.2">
      <c r="L509" s="40"/>
    </row>
    <row r="510" spans="12:12" ht="12.75" x14ac:dyDescent="0.2">
      <c r="L510" s="40"/>
    </row>
    <row r="511" spans="12:12" ht="12.75" x14ac:dyDescent="0.2">
      <c r="L511" s="40"/>
    </row>
    <row r="512" spans="12:12" ht="12.75" x14ac:dyDescent="0.2">
      <c r="L512" s="40"/>
    </row>
    <row r="513" spans="12:12" ht="12.75" x14ac:dyDescent="0.2">
      <c r="L513" s="40"/>
    </row>
    <row r="514" spans="12:12" ht="12.75" x14ac:dyDescent="0.2">
      <c r="L514" s="40"/>
    </row>
    <row r="515" spans="12:12" ht="12.75" x14ac:dyDescent="0.2">
      <c r="L515" s="40"/>
    </row>
    <row r="516" spans="12:12" ht="12.75" x14ac:dyDescent="0.2">
      <c r="L516" s="40"/>
    </row>
    <row r="517" spans="12:12" ht="12.75" x14ac:dyDescent="0.2">
      <c r="L517" s="40"/>
    </row>
    <row r="518" spans="12:12" ht="12.75" x14ac:dyDescent="0.2">
      <c r="L518" s="40"/>
    </row>
    <row r="519" spans="12:12" ht="12.75" x14ac:dyDescent="0.2">
      <c r="L519" s="40"/>
    </row>
    <row r="520" spans="12:12" ht="12.75" x14ac:dyDescent="0.2">
      <c r="L520" s="40"/>
    </row>
    <row r="521" spans="12:12" ht="12.75" x14ac:dyDescent="0.2">
      <c r="L521" s="40"/>
    </row>
    <row r="522" spans="12:12" ht="12.75" x14ac:dyDescent="0.2">
      <c r="L522" s="40"/>
    </row>
    <row r="523" spans="12:12" ht="12.75" x14ac:dyDescent="0.2">
      <c r="L523" s="40"/>
    </row>
    <row r="524" spans="12:12" ht="12.75" x14ac:dyDescent="0.2">
      <c r="L524" s="40"/>
    </row>
    <row r="525" spans="12:12" ht="12.75" x14ac:dyDescent="0.2">
      <c r="L525" s="40"/>
    </row>
    <row r="526" spans="12:12" ht="12.75" x14ac:dyDescent="0.2">
      <c r="L526" s="40"/>
    </row>
    <row r="527" spans="12:12" ht="12.75" x14ac:dyDescent="0.2">
      <c r="L527" s="40"/>
    </row>
    <row r="528" spans="12:12" ht="12.75" x14ac:dyDescent="0.2">
      <c r="L528" s="40"/>
    </row>
    <row r="529" spans="12:12" ht="12.75" x14ac:dyDescent="0.2">
      <c r="L529" s="40"/>
    </row>
    <row r="530" spans="12:12" ht="12.75" x14ac:dyDescent="0.2">
      <c r="L530" s="40"/>
    </row>
    <row r="531" spans="12:12" ht="12.75" x14ac:dyDescent="0.2">
      <c r="L531" s="40"/>
    </row>
    <row r="532" spans="12:12" ht="12.75" x14ac:dyDescent="0.2">
      <c r="L532" s="40"/>
    </row>
    <row r="533" spans="12:12" ht="12.75" x14ac:dyDescent="0.2">
      <c r="L533" s="40"/>
    </row>
    <row r="534" spans="12:12" ht="12.75" x14ac:dyDescent="0.2">
      <c r="L534" s="40"/>
    </row>
    <row r="535" spans="12:12" ht="12.75" x14ac:dyDescent="0.2">
      <c r="L535" s="40"/>
    </row>
    <row r="536" spans="12:12" ht="12.75" x14ac:dyDescent="0.2">
      <c r="L536" s="40"/>
    </row>
    <row r="537" spans="12:12" ht="12.75" x14ac:dyDescent="0.2">
      <c r="L537" s="40"/>
    </row>
    <row r="538" spans="12:12" ht="12.75" x14ac:dyDescent="0.2">
      <c r="L538" s="40"/>
    </row>
    <row r="539" spans="12:12" ht="12.75" x14ac:dyDescent="0.2">
      <c r="L539" s="40"/>
    </row>
    <row r="540" spans="12:12" ht="12.75" x14ac:dyDescent="0.2">
      <c r="L540" s="40"/>
    </row>
    <row r="541" spans="12:12" ht="12.75" x14ac:dyDescent="0.2">
      <c r="L541" s="40"/>
    </row>
    <row r="542" spans="12:12" ht="12.75" x14ac:dyDescent="0.2">
      <c r="L542" s="40"/>
    </row>
    <row r="543" spans="12:12" ht="12.75" x14ac:dyDescent="0.2">
      <c r="L543" s="40"/>
    </row>
    <row r="544" spans="12:12" ht="12.75" x14ac:dyDescent="0.2">
      <c r="L544" s="40"/>
    </row>
    <row r="545" spans="12:12" ht="12.75" x14ac:dyDescent="0.2">
      <c r="L545" s="40"/>
    </row>
    <row r="546" spans="12:12" ht="12.75" x14ac:dyDescent="0.2">
      <c r="L546" s="40"/>
    </row>
    <row r="547" spans="12:12" ht="12.75" x14ac:dyDescent="0.2">
      <c r="L547" s="40"/>
    </row>
    <row r="548" spans="12:12" ht="12.75" x14ac:dyDescent="0.2">
      <c r="L548" s="40"/>
    </row>
    <row r="549" spans="12:12" ht="12.75" x14ac:dyDescent="0.2">
      <c r="L549" s="40"/>
    </row>
    <row r="550" spans="12:12" ht="12.75" x14ac:dyDescent="0.2">
      <c r="L550" s="40"/>
    </row>
    <row r="551" spans="12:12" ht="12.75" x14ac:dyDescent="0.2">
      <c r="L551" s="40"/>
    </row>
    <row r="552" spans="12:12" ht="12.75" x14ac:dyDescent="0.2">
      <c r="L552" s="40"/>
    </row>
    <row r="553" spans="12:12" ht="12.75" x14ac:dyDescent="0.2">
      <c r="L553" s="40"/>
    </row>
    <row r="554" spans="12:12" ht="12.75" x14ac:dyDescent="0.2">
      <c r="L554" s="40"/>
    </row>
    <row r="555" spans="12:12" ht="12.75" x14ac:dyDescent="0.2">
      <c r="L555" s="40"/>
    </row>
    <row r="556" spans="12:12" ht="12.75" x14ac:dyDescent="0.2">
      <c r="L556" s="40"/>
    </row>
    <row r="557" spans="12:12" ht="12.75" x14ac:dyDescent="0.2">
      <c r="L557" s="40"/>
    </row>
    <row r="558" spans="12:12" ht="12.75" x14ac:dyDescent="0.2">
      <c r="L558" s="40"/>
    </row>
    <row r="559" spans="12:12" ht="12.75" x14ac:dyDescent="0.2">
      <c r="L559" s="40"/>
    </row>
    <row r="560" spans="12:12" ht="12.75" x14ac:dyDescent="0.2">
      <c r="L560" s="40"/>
    </row>
    <row r="561" spans="12:12" ht="12.75" x14ac:dyDescent="0.2">
      <c r="L561" s="40"/>
    </row>
    <row r="562" spans="12:12" ht="12.75" x14ac:dyDescent="0.2">
      <c r="L562" s="40"/>
    </row>
    <row r="563" spans="12:12" ht="12.75" x14ac:dyDescent="0.2">
      <c r="L563" s="40"/>
    </row>
    <row r="564" spans="12:12" ht="12.75" x14ac:dyDescent="0.2">
      <c r="L564" s="40"/>
    </row>
    <row r="565" spans="12:12" ht="12.75" x14ac:dyDescent="0.2">
      <c r="L565" s="40"/>
    </row>
    <row r="566" spans="12:12" ht="12.75" x14ac:dyDescent="0.2">
      <c r="L566" s="40"/>
    </row>
    <row r="567" spans="12:12" ht="12.75" x14ac:dyDescent="0.2">
      <c r="L567" s="40"/>
    </row>
    <row r="568" spans="12:12" ht="12.75" x14ac:dyDescent="0.2">
      <c r="L568" s="40"/>
    </row>
    <row r="569" spans="12:12" ht="12.75" x14ac:dyDescent="0.2">
      <c r="L569" s="40"/>
    </row>
    <row r="570" spans="12:12" ht="12.75" x14ac:dyDescent="0.2">
      <c r="L570" s="40"/>
    </row>
    <row r="571" spans="12:12" ht="12.75" x14ac:dyDescent="0.2">
      <c r="L571" s="40"/>
    </row>
    <row r="572" spans="12:12" ht="12.75" x14ac:dyDescent="0.2">
      <c r="L572" s="40"/>
    </row>
    <row r="573" spans="12:12" ht="12.75" x14ac:dyDescent="0.2">
      <c r="L573" s="40"/>
    </row>
    <row r="574" spans="12:12" ht="12.75" x14ac:dyDescent="0.2">
      <c r="L574" s="40"/>
    </row>
    <row r="575" spans="12:12" ht="12.75" x14ac:dyDescent="0.2">
      <c r="L575" s="40"/>
    </row>
    <row r="576" spans="12:12" ht="12.75" x14ac:dyDescent="0.2">
      <c r="L576" s="40"/>
    </row>
    <row r="577" spans="12:12" ht="12.75" x14ac:dyDescent="0.2">
      <c r="L577" s="40"/>
    </row>
    <row r="578" spans="12:12" ht="12.75" x14ac:dyDescent="0.2">
      <c r="L578" s="40"/>
    </row>
    <row r="579" spans="12:12" ht="12.75" x14ac:dyDescent="0.2">
      <c r="L579" s="40"/>
    </row>
    <row r="580" spans="12:12" ht="12.75" x14ac:dyDescent="0.2">
      <c r="L580" s="40"/>
    </row>
    <row r="581" spans="12:12" ht="12.75" x14ac:dyDescent="0.2">
      <c r="L581" s="40"/>
    </row>
    <row r="582" spans="12:12" ht="12.75" x14ac:dyDescent="0.2">
      <c r="L582" s="40"/>
    </row>
    <row r="583" spans="12:12" ht="12.75" x14ac:dyDescent="0.2">
      <c r="L583" s="40"/>
    </row>
    <row r="584" spans="12:12" ht="12.75" x14ac:dyDescent="0.2">
      <c r="L584" s="40"/>
    </row>
    <row r="585" spans="12:12" ht="12.75" x14ac:dyDescent="0.2">
      <c r="L585" s="40"/>
    </row>
    <row r="586" spans="12:12" ht="12.75" x14ac:dyDescent="0.2">
      <c r="L586" s="40"/>
    </row>
    <row r="587" spans="12:12" ht="12.75" x14ac:dyDescent="0.2">
      <c r="L587" s="40"/>
    </row>
    <row r="588" spans="12:12" ht="12.75" x14ac:dyDescent="0.2">
      <c r="L588" s="40"/>
    </row>
    <row r="589" spans="12:12" ht="12.75" x14ac:dyDescent="0.2">
      <c r="L589" s="40"/>
    </row>
    <row r="590" spans="12:12" ht="12.75" x14ac:dyDescent="0.2">
      <c r="L590" s="40"/>
    </row>
    <row r="591" spans="12:12" ht="12.75" x14ac:dyDescent="0.2">
      <c r="L591" s="40"/>
    </row>
    <row r="592" spans="12:12" ht="12.75" x14ac:dyDescent="0.2">
      <c r="L592" s="40"/>
    </row>
    <row r="593" spans="12:12" ht="12.75" x14ac:dyDescent="0.2">
      <c r="L593" s="40"/>
    </row>
    <row r="594" spans="12:12" ht="12.75" x14ac:dyDescent="0.2">
      <c r="L594" s="40"/>
    </row>
    <row r="595" spans="12:12" ht="12.75" x14ac:dyDescent="0.2">
      <c r="L595" s="40"/>
    </row>
    <row r="596" spans="12:12" ht="12.75" x14ac:dyDescent="0.2">
      <c r="L596" s="40"/>
    </row>
    <row r="597" spans="12:12" ht="12.75" x14ac:dyDescent="0.2">
      <c r="L597" s="40"/>
    </row>
    <row r="598" spans="12:12" ht="12.75" x14ac:dyDescent="0.2">
      <c r="L598" s="40"/>
    </row>
    <row r="599" spans="12:12" ht="12.75" x14ac:dyDescent="0.2">
      <c r="L599" s="40"/>
    </row>
    <row r="600" spans="12:12" ht="12.75" x14ac:dyDescent="0.2">
      <c r="L600" s="40"/>
    </row>
    <row r="601" spans="12:12" ht="12.75" x14ac:dyDescent="0.2">
      <c r="L601" s="40"/>
    </row>
    <row r="602" spans="12:12" ht="12.75" x14ac:dyDescent="0.2">
      <c r="L602" s="40"/>
    </row>
    <row r="603" spans="12:12" ht="12.75" x14ac:dyDescent="0.2">
      <c r="L603" s="40"/>
    </row>
    <row r="604" spans="12:12" ht="12.75" x14ac:dyDescent="0.2">
      <c r="L604" s="40"/>
    </row>
    <row r="605" spans="12:12" ht="12.75" x14ac:dyDescent="0.2">
      <c r="L605" s="40"/>
    </row>
    <row r="606" spans="12:12" ht="12.75" x14ac:dyDescent="0.2">
      <c r="L606" s="40"/>
    </row>
    <row r="607" spans="12:12" ht="12.75" x14ac:dyDescent="0.2">
      <c r="L607" s="40"/>
    </row>
    <row r="608" spans="12:12" ht="12.75" x14ac:dyDescent="0.2">
      <c r="L608" s="40"/>
    </row>
    <row r="609" spans="12:12" ht="12.75" x14ac:dyDescent="0.2">
      <c r="L609" s="40"/>
    </row>
    <row r="610" spans="12:12" ht="12.75" x14ac:dyDescent="0.2">
      <c r="L610" s="40"/>
    </row>
    <row r="611" spans="12:12" ht="12.75" x14ac:dyDescent="0.2">
      <c r="L611" s="40"/>
    </row>
    <row r="612" spans="12:12" ht="12.75" x14ac:dyDescent="0.2">
      <c r="L612" s="40"/>
    </row>
    <row r="613" spans="12:12" ht="12.75" x14ac:dyDescent="0.2">
      <c r="L613" s="40"/>
    </row>
    <row r="614" spans="12:12" ht="12.75" x14ac:dyDescent="0.2">
      <c r="L614" s="40"/>
    </row>
    <row r="615" spans="12:12" ht="12.75" x14ac:dyDescent="0.2">
      <c r="L615" s="40"/>
    </row>
    <row r="616" spans="12:12" ht="12.75" x14ac:dyDescent="0.2">
      <c r="L616" s="40"/>
    </row>
    <row r="617" spans="12:12" ht="12.75" x14ac:dyDescent="0.2">
      <c r="L617" s="40"/>
    </row>
    <row r="618" spans="12:12" ht="12.75" x14ac:dyDescent="0.2">
      <c r="L618" s="40"/>
    </row>
    <row r="619" spans="12:12" ht="12.75" x14ac:dyDescent="0.2">
      <c r="L619" s="40"/>
    </row>
    <row r="620" spans="12:12" ht="12.75" x14ac:dyDescent="0.2">
      <c r="L620" s="40"/>
    </row>
    <row r="621" spans="12:12" ht="12.75" x14ac:dyDescent="0.2">
      <c r="L621" s="40"/>
    </row>
    <row r="622" spans="12:12" ht="12.75" x14ac:dyDescent="0.2">
      <c r="L622" s="40"/>
    </row>
    <row r="623" spans="12:12" ht="12.75" x14ac:dyDescent="0.2">
      <c r="L623" s="40"/>
    </row>
    <row r="624" spans="12:12" ht="12.75" x14ac:dyDescent="0.2">
      <c r="L624" s="40"/>
    </row>
    <row r="625" spans="12:12" ht="12.75" x14ac:dyDescent="0.2">
      <c r="L625" s="40"/>
    </row>
    <row r="626" spans="12:12" ht="12.75" x14ac:dyDescent="0.2">
      <c r="L626" s="40"/>
    </row>
    <row r="627" spans="12:12" ht="12.75" x14ac:dyDescent="0.2">
      <c r="L627" s="40"/>
    </row>
    <row r="628" spans="12:12" ht="12.75" x14ac:dyDescent="0.2">
      <c r="L628" s="40"/>
    </row>
    <row r="629" spans="12:12" ht="12.75" x14ac:dyDescent="0.2">
      <c r="L629" s="40"/>
    </row>
    <row r="630" spans="12:12" ht="12.75" x14ac:dyDescent="0.2">
      <c r="L630" s="40"/>
    </row>
    <row r="631" spans="12:12" ht="12.75" x14ac:dyDescent="0.2">
      <c r="L631" s="40"/>
    </row>
    <row r="632" spans="12:12" ht="12.75" x14ac:dyDescent="0.2">
      <c r="L632" s="40"/>
    </row>
    <row r="633" spans="12:12" ht="12.75" x14ac:dyDescent="0.2">
      <c r="L633" s="40"/>
    </row>
    <row r="634" spans="12:12" ht="12.75" x14ac:dyDescent="0.2">
      <c r="L634" s="40"/>
    </row>
    <row r="635" spans="12:12" ht="12.75" x14ac:dyDescent="0.2">
      <c r="L635" s="40"/>
    </row>
    <row r="636" spans="12:12" ht="12.75" x14ac:dyDescent="0.2">
      <c r="L636" s="40"/>
    </row>
    <row r="637" spans="12:12" ht="12.75" x14ac:dyDescent="0.2">
      <c r="L637" s="40"/>
    </row>
    <row r="638" spans="12:12" ht="12.75" x14ac:dyDescent="0.2">
      <c r="L638" s="40"/>
    </row>
    <row r="639" spans="12:12" ht="12.75" x14ac:dyDescent="0.2">
      <c r="L639" s="40"/>
    </row>
    <row r="640" spans="12:12" ht="12.75" x14ac:dyDescent="0.2">
      <c r="L640" s="40"/>
    </row>
    <row r="641" spans="12:12" ht="12.75" x14ac:dyDescent="0.2">
      <c r="L641" s="40"/>
    </row>
    <row r="642" spans="12:12" ht="12.75" x14ac:dyDescent="0.2">
      <c r="L642" s="40"/>
    </row>
    <row r="643" spans="12:12" ht="12.75" x14ac:dyDescent="0.2">
      <c r="L643" s="40"/>
    </row>
    <row r="644" spans="12:12" ht="12.75" x14ac:dyDescent="0.2">
      <c r="L644" s="40"/>
    </row>
    <row r="645" spans="12:12" ht="12.75" x14ac:dyDescent="0.2">
      <c r="L645" s="40"/>
    </row>
    <row r="646" spans="12:12" ht="12.75" x14ac:dyDescent="0.2">
      <c r="L646" s="40"/>
    </row>
    <row r="647" spans="12:12" ht="12.75" x14ac:dyDescent="0.2">
      <c r="L647" s="40"/>
    </row>
    <row r="648" spans="12:12" ht="12.75" x14ac:dyDescent="0.2">
      <c r="L648" s="40"/>
    </row>
    <row r="649" spans="12:12" ht="12.75" x14ac:dyDescent="0.2">
      <c r="L649" s="40"/>
    </row>
    <row r="650" spans="12:12" ht="12.75" x14ac:dyDescent="0.2">
      <c r="L650" s="40"/>
    </row>
    <row r="651" spans="12:12" ht="12.75" x14ac:dyDescent="0.2">
      <c r="L651" s="40"/>
    </row>
    <row r="652" spans="12:12" ht="12.75" x14ac:dyDescent="0.2">
      <c r="L652" s="40"/>
    </row>
    <row r="653" spans="12:12" ht="12.75" x14ac:dyDescent="0.2">
      <c r="L653" s="40"/>
    </row>
    <row r="654" spans="12:12" ht="12.75" x14ac:dyDescent="0.2">
      <c r="L654" s="40"/>
    </row>
    <row r="655" spans="12:12" ht="12.75" x14ac:dyDescent="0.2">
      <c r="L655" s="40"/>
    </row>
    <row r="656" spans="12:12" ht="12.75" x14ac:dyDescent="0.2">
      <c r="L656" s="40"/>
    </row>
    <row r="657" spans="12:12" ht="12.75" x14ac:dyDescent="0.2">
      <c r="L657" s="40"/>
    </row>
    <row r="658" spans="12:12" ht="12.75" x14ac:dyDescent="0.2">
      <c r="L658" s="40"/>
    </row>
    <row r="659" spans="12:12" ht="12.75" x14ac:dyDescent="0.2">
      <c r="L659" s="40"/>
    </row>
    <row r="660" spans="12:12" ht="12.75" x14ac:dyDescent="0.2">
      <c r="L660" s="40"/>
    </row>
    <row r="661" spans="12:12" ht="12.75" x14ac:dyDescent="0.2">
      <c r="L661" s="40"/>
    </row>
    <row r="662" spans="12:12" ht="12.75" x14ac:dyDescent="0.2">
      <c r="L662" s="40"/>
    </row>
    <row r="663" spans="12:12" ht="12.75" x14ac:dyDescent="0.2">
      <c r="L663" s="40"/>
    </row>
    <row r="664" spans="12:12" ht="12.75" x14ac:dyDescent="0.2">
      <c r="L664" s="40"/>
    </row>
    <row r="665" spans="12:12" ht="12.75" x14ac:dyDescent="0.2">
      <c r="L665" s="40"/>
    </row>
    <row r="666" spans="12:12" ht="12.75" x14ac:dyDescent="0.2">
      <c r="L666" s="40"/>
    </row>
    <row r="667" spans="12:12" ht="12.75" x14ac:dyDescent="0.2">
      <c r="L667" s="40"/>
    </row>
    <row r="668" spans="12:12" ht="12.75" x14ac:dyDescent="0.2">
      <c r="L668" s="40"/>
    </row>
    <row r="669" spans="12:12" ht="12.75" x14ac:dyDescent="0.2">
      <c r="L669" s="40"/>
    </row>
    <row r="670" spans="12:12" ht="12.75" x14ac:dyDescent="0.2">
      <c r="L670" s="40"/>
    </row>
    <row r="671" spans="12:12" ht="12.75" x14ac:dyDescent="0.2">
      <c r="L671" s="40"/>
    </row>
    <row r="672" spans="12:12" ht="12.75" x14ac:dyDescent="0.2">
      <c r="L672" s="40"/>
    </row>
    <row r="673" spans="12:12" ht="12.75" x14ac:dyDescent="0.2">
      <c r="L673" s="40"/>
    </row>
    <row r="674" spans="12:12" ht="12.75" x14ac:dyDescent="0.2">
      <c r="L674" s="40"/>
    </row>
    <row r="675" spans="12:12" ht="12.75" x14ac:dyDescent="0.2">
      <c r="L675" s="40"/>
    </row>
    <row r="676" spans="12:12" ht="12.75" x14ac:dyDescent="0.2">
      <c r="L676" s="40"/>
    </row>
    <row r="677" spans="12:12" ht="12.75" x14ac:dyDescent="0.2">
      <c r="L677" s="40"/>
    </row>
    <row r="678" spans="12:12" ht="12.75" x14ac:dyDescent="0.2">
      <c r="L678" s="40"/>
    </row>
    <row r="679" spans="12:12" ht="12.75" x14ac:dyDescent="0.2">
      <c r="L679" s="40"/>
    </row>
    <row r="680" spans="12:12" ht="12.75" x14ac:dyDescent="0.2">
      <c r="L680" s="40"/>
    </row>
    <row r="681" spans="12:12" ht="12.75" x14ac:dyDescent="0.2">
      <c r="L681" s="40"/>
    </row>
    <row r="682" spans="12:12" ht="12.75" x14ac:dyDescent="0.2">
      <c r="L682" s="40"/>
    </row>
    <row r="683" spans="12:12" ht="12.75" x14ac:dyDescent="0.2">
      <c r="L683" s="40"/>
    </row>
    <row r="684" spans="12:12" ht="12.75" x14ac:dyDescent="0.2">
      <c r="L684" s="40"/>
    </row>
    <row r="685" spans="12:12" ht="12.75" x14ac:dyDescent="0.2">
      <c r="L685" s="40"/>
    </row>
    <row r="686" spans="12:12" ht="12.75" x14ac:dyDescent="0.2">
      <c r="L686" s="40"/>
    </row>
    <row r="687" spans="12:12" ht="12.75" x14ac:dyDescent="0.2">
      <c r="L687" s="40"/>
    </row>
    <row r="688" spans="12:12" ht="12.75" x14ac:dyDescent="0.2">
      <c r="L688" s="40"/>
    </row>
    <row r="689" spans="12:12" ht="12.75" x14ac:dyDescent="0.2">
      <c r="L689" s="40"/>
    </row>
    <row r="690" spans="12:12" ht="12.75" x14ac:dyDescent="0.2">
      <c r="L690" s="40"/>
    </row>
    <row r="691" spans="12:12" ht="12.75" x14ac:dyDescent="0.2">
      <c r="L691" s="40"/>
    </row>
    <row r="692" spans="12:12" ht="12.75" x14ac:dyDescent="0.2">
      <c r="L692" s="40"/>
    </row>
    <row r="693" spans="12:12" ht="12.75" x14ac:dyDescent="0.2">
      <c r="L693" s="40"/>
    </row>
    <row r="694" spans="12:12" ht="12.75" x14ac:dyDescent="0.2">
      <c r="L694" s="40"/>
    </row>
    <row r="695" spans="12:12" ht="12.75" x14ac:dyDescent="0.2">
      <c r="L695" s="40"/>
    </row>
    <row r="696" spans="12:12" ht="12.75" x14ac:dyDescent="0.2">
      <c r="L696" s="40"/>
    </row>
    <row r="697" spans="12:12" ht="12.75" x14ac:dyDescent="0.2">
      <c r="L697" s="40"/>
    </row>
    <row r="698" spans="12:12" ht="12.75" x14ac:dyDescent="0.2">
      <c r="L698" s="40"/>
    </row>
    <row r="699" spans="12:12" ht="12.75" x14ac:dyDescent="0.2">
      <c r="L699" s="40"/>
    </row>
    <row r="700" spans="12:12" ht="12.75" x14ac:dyDescent="0.2">
      <c r="L700" s="40"/>
    </row>
    <row r="701" spans="12:12" ht="12.75" x14ac:dyDescent="0.2">
      <c r="L701" s="40"/>
    </row>
    <row r="702" spans="12:12" ht="12.75" x14ac:dyDescent="0.2">
      <c r="L702" s="40"/>
    </row>
    <row r="703" spans="12:12" ht="12.75" x14ac:dyDescent="0.2">
      <c r="L703" s="40"/>
    </row>
    <row r="704" spans="12:12" ht="12.75" x14ac:dyDescent="0.2">
      <c r="L704" s="40"/>
    </row>
    <row r="705" spans="12:12" ht="12.75" x14ac:dyDescent="0.2">
      <c r="L705" s="40"/>
    </row>
    <row r="706" spans="12:12" ht="12.75" x14ac:dyDescent="0.2">
      <c r="L706" s="40"/>
    </row>
    <row r="707" spans="12:12" ht="12.75" x14ac:dyDescent="0.2">
      <c r="L707" s="40"/>
    </row>
    <row r="708" spans="12:12" ht="12.75" x14ac:dyDescent="0.2">
      <c r="L708" s="40"/>
    </row>
    <row r="709" spans="12:12" ht="12.75" x14ac:dyDescent="0.2">
      <c r="L709" s="40"/>
    </row>
    <row r="710" spans="12:12" ht="12.75" x14ac:dyDescent="0.2">
      <c r="L710" s="40"/>
    </row>
    <row r="711" spans="12:12" ht="12.75" x14ac:dyDescent="0.2">
      <c r="L711" s="40"/>
    </row>
    <row r="712" spans="12:12" ht="12.75" x14ac:dyDescent="0.2">
      <c r="L712" s="40"/>
    </row>
    <row r="713" spans="12:12" ht="12.75" x14ac:dyDescent="0.2">
      <c r="L713" s="40"/>
    </row>
    <row r="714" spans="12:12" ht="12.75" x14ac:dyDescent="0.2">
      <c r="L714" s="40"/>
    </row>
    <row r="715" spans="12:12" ht="12.75" x14ac:dyDescent="0.2">
      <c r="L715" s="40"/>
    </row>
    <row r="716" spans="12:12" ht="12.75" x14ac:dyDescent="0.2">
      <c r="L716" s="40"/>
    </row>
    <row r="717" spans="12:12" ht="12.75" x14ac:dyDescent="0.2">
      <c r="L717" s="40"/>
    </row>
    <row r="718" spans="12:12" ht="12.75" x14ac:dyDescent="0.2">
      <c r="L718" s="40"/>
    </row>
    <row r="719" spans="12:12" ht="12.75" x14ac:dyDescent="0.2">
      <c r="L719" s="40"/>
    </row>
    <row r="720" spans="12:12" ht="12.75" x14ac:dyDescent="0.2">
      <c r="L720" s="40"/>
    </row>
    <row r="721" spans="12:12" ht="12.75" x14ac:dyDescent="0.2">
      <c r="L721" s="40"/>
    </row>
    <row r="722" spans="12:12" ht="12.75" x14ac:dyDescent="0.2">
      <c r="L722" s="40"/>
    </row>
    <row r="723" spans="12:12" ht="12.75" x14ac:dyDescent="0.2">
      <c r="L723" s="40"/>
    </row>
    <row r="724" spans="12:12" ht="12.75" x14ac:dyDescent="0.2">
      <c r="L724" s="40"/>
    </row>
    <row r="725" spans="12:12" ht="12.75" x14ac:dyDescent="0.2">
      <c r="L725" s="40"/>
    </row>
    <row r="726" spans="12:12" ht="12.75" x14ac:dyDescent="0.2">
      <c r="L726" s="40"/>
    </row>
    <row r="727" spans="12:12" ht="12.75" x14ac:dyDescent="0.2">
      <c r="L727" s="40"/>
    </row>
    <row r="728" spans="12:12" ht="12.75" x14ac:dyDescent="0.2">
      <c r="L728" s="40"/>
    </row>
    <row r="729" spans="12:12" ht="12.75" x14ac:dyDescent="0.2">
      <c r="L729" s="40"/>
    </row>
    <row r="730" spans="12:12" ht="12.75" x14ac:dyDescent="0.2">
      <c r="L730" s="40"/>
    </row>
    <row r="731" spans="12:12" ht="12.75" x14ac:dyDescent="0.2">
      <c r="L731" s="40"/>
    </row>
    <row r="732" spans="12:12" ht="12.75" x14ac:dyDescent="0.2">
      <c r="L732" s="40"/>
    </row>
    <row r="733" spans="12:12" ht="12.75" x14ac:dyDescent="0.2">
      <c r="L733" s="40"/>
    </row>
    <row r="734" spans="12:12" ht="12.75" x14ac:dyDescent="0.2">
      <c r="L734" s="40"/>
    </row>
    <row r="735" spans="12:12" ht="12.75" x14ac:dyDescent="0.2">
      <c r="L735" s="40"/>
    </row>
    <row r="736" spans="12:12" ht="12.75" x14ac:dyDescent="0.2">
      <c r="L736" s="40"/>
    </row>
    <row r="737" spans="12:12" ht="12.75" x14ac:dyDescent="0.2">
      <c r="L737" s="40"/>
    </row>
    <row r="738" spans="12:12" ht="12.75" x14ac:dyDescent="0.2">
      <c r="L738" s="40"/>
    </row>
    <row r="739" spans="12:12" ht="12.75" x14ac:dyDescent="0.2">
      <c r="L739" s="40"/>
    </row>
    <row r="740" spans="12:12" ht="12.75" x14ac:dyDescent="0.2">
      <c r="L740" s="40"/>
    </row>
    <row r="741" spans="12:12" ht="12.75" x14ac:dyDescent="0.2">
      <c r="L741" s="40"/>
    </row>
    <row r="742" spans="12:12" ht="12.75" x14ac:dyDescent="0.2">
      <c r="L742" s="40"/>
    </row>
    <row r="743" spans="12:12" ht="12.75" x14ac:dyDescent="0.2">
      <c r="L743" s="40"/>
    </row>
    <row r="744" spans="12:12" ht="12.75" x14ac:dyDescent="0.2">
      <c r="L744" s="40"/>
    </row>
    <row r="745" spans="12:12" ht="12.75" x14ac:dyDescent="0.2">
      <c r="L745" s="40"/>
    </row>
    <row r="746" spans="12:12" ht="12.75" x14ac:dyDescent="0.2">
      <c r="L746" s="40"/>
    </row>
    <row r="747" spans="12:12" ht="12.75" x14ac:dyDescent="0.2">
      <c r="L747" s="40"/>
    </row>
    <row r="748" spans="12:12" ht="12.75" x14ac:dyDescent="0.2">
      <c r="L748" s="40"/>
    </row>
    <row r="749" spans="12:12" ht="12.75" x14ac:dyDescent="0.2">
      <c r="L749" s="40"/>
    </row>
    <row r="750" spans="12:12" ht="12.75" x14ac:dyDescent="0.2">
      <c r="L750" s="40"/>
    </row>
    <row r="751" spans="12:12" ht="12.75" x14ac:dyDescent="0.2">
      <c r="L751" s="40"/>
    </row>
    <row r="752" spans="12:12" ht="12.75" x14ac:dyDescent="0.2">
      <c r="L752" s="40"/>
    </row>
    <row r="753" spans="12:12" ht="12.75" x14ac:dyDescent="0.2">
      <c r="L753" s="40"/>
    </row>
    <row r="754" spans="12:12" ht="12.75" x14ac:dyDescent="0.2">
      <c r="L754" s="40"/>
    </row>
    <row r="755" spans="12:12" ht="12.75" x14ac:dyDescent="0.2">
      <c r="L755" s="40"/>
    </row>
    <row r="756" spans="12:12" ht="12.75" x14ac:dyDescent="0.2">
      <c r="L756" s="40"/>
    </row>
    <row r="757" spans="12:12" ht="12.75" x14ac:dyDescent="0.2">
      <c r="L757" s="40"/>
    </row>
    <row r="758" spans="12:12" ht="12.75" x14ac:dyDescent="0.2">
      <c r="L758" s="40"/>
    </row>
    <row r="759" spans="12:12" ht="12.75" x14ac:dyDescent="0.2">
      <c r="L759" s="40"/>
    </row>
    <row r="760" spans="12:12" ht="12.75" x14ac:dyDescent="0.2">
      <c r="L760" s="40"/>
    </row>
    <row r="761" spans="12:12" ht="12.75" x14ac:dyDescent="0.2">
      <c r="L761" s="40"/>
    </row>
    <row r="762" spans="12:12" ht="12.75" x14ac:dyDescent="0.2">
      <c r="L762" s="40"/>
    </row>
    <row r="763" spans="12:12" ht="12.75" x14ac:dyDescent="0.2">
      <c r="L763" s="40"/>
    </row>
    <row r="764" spans="12:12" ht="12.75" x14ac:dyDescent="0.2">
      <c r="L764" s="40"/>
    </row>
    <row r="765" spans="12:12" ht="12.75" x14ac:dyDescent="0.2">
      <c r="L765" s="40"/>
    </row>
    <row r="766" spans="12:12" ht="12.75" x14ac:dyDescent="0.2">
      <c r="L766" s="40"/>
    </row>
    <row r="767" spans="12:12" ht="12.75" x14ac:dyDescent="0.2">
      <c r="L767" s="40"/>
    </row>
    <row r="768" spans="12:12" ht="12.75" x14ac:dyDescent="0.2">
      <c r="L768" s="40"/>
    </row>
    <row r="769" spans="12:12" ht="12.75" x14ac:dyDescent="0.2">
      <c r="L769" s="40"/>
    </row>
    <row r="770" spans="12:12" ht="12.75" x14ac:dyDescent="0.2">
      <c r="L770" s="40"/>
    </row>
    <row r="771" spans="12:12" ht="12.75" x14ac:dyDescent="0.2">
      <c r="L771" s="40"/>
    </row>
    <row r="772" spans="12:12" ht="12.75" x14ac:dyDescent="0.2">
      <c r="L772" s="40"/>
    </row>
    <row r="773" spans="12:12" ht="12.75" x14ac:dyDescent="0.2">
      <c r="L773" s="40"/>
    </row>
    <row r="774" spans="12:12" ht="12.75" x14ac:dyDescent="0.2">
      <c r="L774" s="40"/>
    </row>
    <row r="775" spans="12:12" ht="12.75" x14ac:dyDescent="0.2">
      <c r="L775" s="40"/>
    </row>
    <row r="776" spans="12:12" ht="12.75" x14ac:dyDescent="0.2">
      <c r="L776" s="40"/>
    </row>
    <row r="777" spans="12:12" ht="12.75" x14ac:dyDescent="0.2">
      <c r="L777" s="40"/>
    </row>
    <row r="778" spans="12:12" ht="12.75" x14ac:dyDescent="0.2">
      <c r="L778" s="40"/>
    </row>
    <row r="779" spans="12:12" ht="12.75" x14ac:dyDescent="0.2">
      <c r="L779" s="40"/>
    </row>
    <row r="780" spans="12:12" ht="12.75" x14ac:dyDescent="0.2">
      <c r="L780" s="40"/>
    </row>
    <row r="781" spans="12:12" ht="12.75" x14ac:dyDescent="0.2">
      <c r="L781" s="40"/>
    </row>
    <row r="782" spans="12:12" ht="12.75" x14ac:dyDescent="0.2">
      <c r="L782" s="40"/>
    </row>
    <row r="783" spans="12:12" ht="12.75" x14ac:dyDescent="0.2">
      <c r="L783" s="40"/>
    </row>
    <row r="784" spans="12:12" ht="12.75" x14ac:dyDescent="0.2">
      <c r="L784" s="40"/>
    </row>
    <row r="785" spans="12:12" ht="12.75" x14ac:dyDescent="0.2">
      <c r="L785" s="40"/>
    </row>
    <row r="786" spans="12:12" ht="12.75" x14ac:dyDescent="0.2">
      <c r="L786" s="40"/>
    </row>
    <row r="787" spans="12:12" ht="12.75" x14ac:dyDescent="0.2">
      <c r="L787" s="40"/>
    </row>
    <row r="788" spans="12:12" ht="12.75" x14ac:dyDescent="0.2">
      <c r="L788" s="40"/>
    </row>
    <row r="789" spans="12:12" ht="12.75" x14ac:dyDescent="0.2">
      <c r="L789" s="40"/>
    </row>
    <row r="790" spans="12:12" ht="12.75" x14ac:dyDescent="0.2">
      <c r="L790" s="40"/>
    </row>
    <row r="791" spans="12:12" ht="12.75" x14ac:dyDescent="0.2">
      <c r="L791" s="40"/>
    </row>
    <row r="792" spans="12:12" ht="12.75" x14ac:dyDescent="0.2">
      <c r="L792" s="40"/>
    </row>
    <row r="793" spans="12:12" ht="12.75" x14ac:dyDescent="0.2">
      <c r="L793" s="40"/>
    </row>
    <row r="794" spans="12:12" ht="12.75" x14ac:dyDescent="0.2">
      <c r="L794" s="40"/>
    </row>
    <row r="795" spans="12:12" ht="12.75" x14ac:dyDescent="0.2">
      <c r="L795" s="40"/>
    </row>
    <row r="796" spans="12:12" ht="12.75" x14ac:dyDescent="0.2">
      <c r="L796" s="40"/>
    </row>
    <row r="797" spans="12:12" ht="12.75" x14ac:dyDescent="0.2">
      <c r="L797" s="40"/>
    </row>
    <row r="798" spans="12:12" ht="12.75" x14ac:dyDescent="0.2">
      <c r="L798" s="40"/>
    </row>
    <row r="799" spans="12:12" ht="12.75" x14ac:dyDescent="0.2">
      <c r="L799" s="40"/>
    </row>
    <row r="800" spans="12:12" ht="12.75" x14ac:dyDescent="0.2">
      <c r="L800" s="40"/>
    </row>
    <row r="801" spans="12:12" ht="12.75" x14ac:dyDescent="0.2">
      <c r="L801" s="40"/>
    </row>
    <row r="802" spans="12:12" ht="12.75" x14ac:dyDescent="0.2">
      <c r="L802" s="40"/>
    </row>
    <row r="803" spans="12:12" ht="12.75" x14ac:dyDescent="0.2">
      <c r="L803" s="40"/>
    </row>
    <row r="804" spans="12:12" ht="12.75" x14ac:dyDescent="0.2">
      <c r="L804" s="40"/>
    </row>
    <row r="805" spans="12:12" ht="12.75" x14ac:dyDescent="0.2">
      <c r="L805" s="40"/>
    </row>
    <row r="806" spans="12:12" ht="12.75" x14ac:dyDescent="0.2">
      <c r="L806" s="40"/>
    </row>
    <row r="807" spans="12:12" ht="12.75" x14ac:dyDescent="0.2">
      <c r="L807" s="40"/>
    </row>
    <row r="808" spans="12:12" ht="12.75" x14ac:dyDescent="0.2">
      <c r="L808" s="40"/>
    </row>
    <row r="809" spans="12:12" ht="12.75" x14ac:dyDescent="0.2">
      <c r="L809" s="40"/>
    </row>
    <row r="810" spans="12:12" ht="12.75" x14ac:dyDescent="0.2">
      <c r="L810" s="40"/>
    </row>
    <row r="811" spans="12:12" ht="12.75" x14ac:dyDescent="0.2">
      <c r="L811" s="40"/>
    </row>
    <row r="812" spans="12:12" ht="12.75" x14ac:dyDescent="0.2">
      <c r="L812" s="40"/>
    </row>
    <row r="813" spans="12:12" ht="12.75" x14ac:dyDescent="0.2">
      <c r="L813" s="40"/>
    </row>
    <row r="814" spans="12:12" ht="12.75" x14ac:dyDescent="0.2">
      <c r="L814" s="40"/>
    </row>
    <row r="815" spans="12:12" ht="12.75" x14ac:dyDescent="0.2">
      <c r="L815" s="40"/>
    </row>
    <row r="816" spans="12:12" ht="12.75" x14ac:dyDescent="0.2">
      <c r="L816" s="40"/>
    </row>
    <row r="817" spans="12:12" ht="12.75" x14ac:dyDescent="0.2">
      <c r="L817" s="40"/>
    </row>
    <row r="818" spans="12:12" ht="12.75" x14ac:dyDescent="0.2">
      <c r="L818" s="40"/>
    </row>
    <row r="819" spans="12:12" ht="12.75" x14ac:dyDescent="0.2">
      <c r="L819" s="40"/>
    </row>
    <row r="820" spans="12:12" ht="12.75" x14ac:dyDescent="0.2">
      <c r="L820" s="40"/>
    </row>
    <row r="821" spans="12:12" ht="12.75" x14ac:dyDescent="0.2">
      <c r="L821" s="40"/>
    </row>
    <row r="822" spans="12:12" ht="12.75" x14ac:dyDescent="0.2">
      <c r="L822" s="40"/>
    </row>
    <row r="823" spans="12:12" ht="12.75" x14ac:dyDescent="0.2">
      <c r="L823" s="40"/>
    </row>
    <row r="824" spans="12:12" ht="12.75" x14ac:dyDescent="0.2">
      <c r="L824" s="40"/>
    </row>
    <row r="825" spans="12:12" ht="12.75" x14ac:dyDescent="0.2">
      <c r="L825" s="40"/>
    </row>
    <row r="826" spans="12:12" ht="12.75" x14ac:dyDescent="0.2">
      <c r="L826" s="40"/>
    </row>
    <row r="827" spans="12:12" ht="12.75" x14ac:dyDescent="0.2">
      <c r="L827" s="40"/>
    </row>
    <row r="828" spans="12:12" ht="12.75" x14ac:dyDescent="0.2">
      <c r="L828" s="40"/>
    </row>
    <row r="829" spans="12:12" ht="12.75" x14ac:dyDescent="0.2">
      <c r="L829" s="40"/>
    </row>
    <row r="830" spans="12:12" ht="12.75" x14ac:dyDescent="0.2">
      <c r="L830" s="40"/>
    </row>
    <row r="831" spans="12:12" ht="12.75" x14ac:dyDescent="0.2">
      <c r="L831" s="40"/>
    </row>
    <row r="832" spans="12:12" ht="12.75" x14ac:dyDescent="0.2">
      <c r="L832" s="40"/>
    </row>
    <row r="833" spans="12:12" ht="12.75" x14ac:dyDescent="0.2">
      <c r="L833" s="40"/>
    </row>
    <row r="834" spans="12:12" ht="12.75" x14ac:dyDescent="0.2">
      <c r="L834" s="40"/>
    </row>
    <row r="835" spans="12:12" ht="12.75" x14ac:dyDescent="0.2">
      <c r="L835" s="40"/>
    </row>
    <row r="836" spans="12:12" ht="12.75" x14ac:dyDescent="0.2">
      <c r="L836" s="40"/>
    </row>
    <row r="837" spans="12:12" ht="12.75" x14ac:dyDescent="0.2">
      <c r="L837" s="40"/>
    </row>
    <row r="838" spans="12:12" ht="12.75" x14ac:dyDescent="0.2">
      <c r="L838" s="40"/>
    </row>
    <row r="839" spans="12:12" ht="12.75" x14ac:dyDescent="0.2">
      <c r="L839" s="40"/>
    </row>
    <row r="840" spans="12:12" ht="12.75" x14ac:dyDescent="0.2">
      <c r="L840" s="40"/>
    </row>
    <row r="841" spans="12:12" ht="12.75" x14ac:dyDescent="0.2">
      <c r="L841" s="40"/>
    </row>
    <row r="842" spans="12:12" ht="12.75" x14ac:dyDescent="0.2">
      <c r="L842" s="40"/>
    </row>
    <row r="843" spans="12:12" ht="12.75" x14ac:dyDescent="0.2">
      <c r="L843" s="40"/>
    </row>
    <row r="844" spans="12:12" ht="12.75" x14ac:dyDescent="0.2">
      <c r="L844" s="40"/>
    </row>
    <row r="845" spans="12:12" ht="12.75" x14ac:dyDescent="0.2">
      <c r="L845" s="40"/>
    </row>
    <row r="846" spans="12:12" ht="12.75" x14ac:dyDescent="0.2">
      <c r="L846" s="40"/>
    </row>
    <row r="847" spans="12:12" ht="12.75" x14ac:dyDescent="0.2">
      <c r="L847" s="40"/>
    </row>
    <row r="848" spans="12:12" ht="12.75" x14ac:dyDescent="0.2">
      <c r="L848" s="40"/>
    </row>
    <row r="849" spans="12:12" ht="12.75" x14ac:dyDescent="0.2">
      <c r="L849" s="40"/>
    </row>
    <row r="850" spans="12:12" ht="12.75" x14ac:dyDescent="0.2">
      <c r="L850" s="40"/>
    </row>
    <row r="851" spans="12:12" ht="12.75" x14ac:dyDescent="0.2">
      <c r="L851" s="40"/>
    </row>
    <row r="852" spans="12:12" ht="12.75" x14ac:dyDescent="0.2">
      <c r="L852" s="40"/>
    </row>
    <row r="853" spans="12:12" ht="12.75" x14ac:dyDescent="0.2">
      <c r="L853" s="40"/>
    </row>
    <row r="854" spans="12:12" ht="12.75" x14ac:dyDescent="0.2">
      <c r="L854" s="40"/>
    </row>
    <row r="855" spans="12:12" ht="12.75" x14ac:dyDescent="0.2">
      <c r="L855" s="40"/>
    </row>
    <row r="856" spans="12:12" ht="12.75" x14ac:dyDescent="0.2">
      <c r="L856" s="40"/>
    </row>
    <row r="857" spans="12:12" ht="12.75" x14ac:dyDescent="0.2">
      <c r="L857" s="40"/>
    </row>
    <row r="858" spans="12:12" ht="12.75" x14ac:dyDescent="0.2">
      <c r="L858" s="40"/>
    </row>
    <row r="859" spans="12:12" ht="12.75" x14ac:dyDescent="0.2">
      <c r="L859" s="40"/>
    </row>
    <row r="860" spans="12:12" ht="12.75" x14ac:dyDescent="0.2">
      <c r="L860" s="40"/>
    </row>
    <row r="861" spans="12:12" ht="12.75" x14ac:dyDescent="0.2">
      <c r="L861" s="40"/>
    </row>
    <row r="862" spans="12:12" ht="12.75" x14ac:dyDescent="0.2">
      <c r="L862" s="40"/>
    </row>
    <row r="863" spans="12:12" ht="12.75" x14ac:dyDescent="0.2">
      <c r="L863" s="40"/>
    </row>
    <row r="864" spans="12:12" ht="12.75" x14ac:dyDescent="0.2">
      <c r="L864" s="40"/>
    </row>
    <row r="865" spans="12:12" ht="12.75" x14ac:dyDescent="0.2">
      <c r="L865" s="40"/>
    </row>
    <row r="866" spans="12:12" ht="12.75" x14ac:dyDescent="0.2">
      <c r="L866" s="40"/>
    </row>
    <row r="867" spans="12:12" ht="12.75" x14ac:dyDescent="0.2">
      <c r="L867" s="40"/>
    </row>
    <row r="868" spans="12:12" ht="12.75" x14ac:dyDescent="0.2">
      <c r="L868" s="40"/>
    </row>
    <row r="869" spans="12:12" ht="12.75" x14ac:dyDescent="0.2">
      <c r="L869" s="40"/>
    </row>
    <row r="870" spans="12:12" ht="12.75" x14ac:dyDescent="0.2">
      <c r="L870" s="40"/>
    </row>
    <row r="871" spans="12:12" ht="12.75" x14ac:dyDescent="0.2">
      <c r="L871" s="40"/>
    </row>
    <row r="872" spans="12:12" ht="12.75" x14ac:dyDescent="0.2">
      <c r="L872" s="40"/>
    </row>
    <row r="873" spans="12:12" ht="12.75" x14ac:dyDescent="0.2">
      <c r="L873" s="40"/>
    </row>
    <row r="874" spans="12:12" ht="12.75" x14ac:dyDescent="0.2">
      <c r="L874" s="40"/>
    </row>
    <row r="875" spans="12:12" ht="12.75" x14ac:dyDescent="0.2">
      <c r="L875" s="40"/>
    </row>
    <row r="876" spans="12:12" ht="12.75" x14ac:dyDescent="0.2">
      <c r="L876" s="40"/>
    </row>
    <row r="877" spans="12:12" ht="12.75" x14ac:dyDescent="0.2">
      <c r="L877" s="40"/>
    </row>
    <row r="878" spans="12:12" ht="12.75" x14ac:dyDescent="0.2">
      <c r="L878" s="40"/>
    </row>
    <row r="879" spans="12:12" ht="12.75" x14ac:dyDescent="0.2">
      <c r="L879" s="40"/>
    </row>
    <row r="880" spans="12:12" ht="12.75" x14ac:dyDescent="0.2">
      <c r="L880" s="40"/>
    </row>
    <row r="881" spans="12:12" ht="12.75" x14ac:dyDescent="0.2">
      <c r="L881" s="40"/>
    </row>
    <row r="882" spans="12:12" ht="12.75" x14ac:dyDescent="0.2">
      <c r="L882" s="40"/>
    </row>
    <row r="883" spans="12:12" ht="12.75" x14ac:dyDescent="0.2">
      <c r="L883" s="40"/>
    </row>
    <row r="884" spans="12:12" ht="12.75" x14ac:dyDescent="0.2">
      <c r="L884" s="40"/>
    </row>
    <row r="885" spans="12:12" ht="12.75" x14ac:dyDescent="0.2">
      <c r="L885" s="40"/>
    </row>
    <row r="886" spans="12:12" ht="12.75" x14ac:dyDescent="0.2">
      <c r="L886" s="40"/>
    </row>
    <row r="887" spans="12:12" ht="12.75" x14ac:dyDescent="0.2">
      <c r="L887" s="40"/>
    </row>
    <row r="888" spans="12:12" ht="12.75" x14ac:dyDescent="0.2">
      <c r="L888" s="40"/>
    </row>
    <row r="889" spans="12:12" ht="12.75" x14ac:dyDescent="0.2">
      <c r="L889" s="40"/>
    </row>
    <row r="890" spans="12:12" ht="12.75" x14ac:dyDescent="0.2">
      <c r="L890" s="40"/>
    </row>
    <row r="891" spans="12:12" ht="12.75" x14ac:dyDescent="0.2">
      <c r="L891" s="40"/>
    </row>
    <row r="892" spans="12:12" ht="12.75" x14ac:dyDescent="0.2">
      <c r="L892" s="40"/>
    </row>
    <row r="893" spans="12:12" ht="12.75" x14ac:dyDescent="0.2">
      <c r="L893" s="40"/>
    </row>
    <row r="894" spans="12:12" ht="12.75" x14ac:dyDescent="0.2">
      <c r="L894" s="40"/>
    </row>
    <row r="895" spans="12:12" ht="12.75" x14ac:dyDescent="0.2">
      <c r="L895" s="40"/>
    </row>
    <row r="896" spans="12:12" ht="12.75" x14ac:dyDescent="0.2">
      <c r="L896" s="40"/>
    </row>
    <row r="897" spans="12:12" ht="12.75" x14ac:dyDescent="0.2">
      <c r="L897" s="40"/>
    </row>
    <row r="898" spans="12:12" ht="12.75" x14ac:dyDescent="0.2">
      <c r="L898" s="40"/>
    </row>
    <row r="899" spans="12:12" ht="12.75" x14ac:dyDescent="0.2">
      <c r="L899" s="40"/>
    </row>
    <row r="900" spans="12:12" ht="12.75" x14ac:dyDescent="0.2">
      <c r="L900" s="40"/>
    </row>
    <row r="901" spans="12:12" ht="12.75" x14ac:dyDescent="0.2">
      <c r="L901" s="40"/>
    </row>
    <row r="902" spans="12:12" ht="12.75" x14ac:dyDescent="0.2">
      <c r="L902" s="40"/>
    </row>
    <row r="903" spans="12:12" ht="12.75" x14ac:dyDescent="0.2">
      <c r="L903" s="40"/>
    </row>
    <row r="904" spans="12:12" ht="12.75" x14ac:dyDescent="0.2">
      <c r="L904" s="40"/>
    </row>
    <row r="905" spans="12:12" ht="12.75" x14ac:dyDescent="0.2">
      <c r="L905" s="40"/>
    </row>
    <row r="906" spans="12:12" ht="12.75" x14ac:dyDescent="0.2">
      <c r="L906" s="40"/>
    </row>
    <row r="907" spans="12:12" ht="12.75" x14ac:dyDescent="0.2">
      <c r="L907" s="40"/>
    </row>
    <row r="908" spans="12:12" ht="12.75" x14ac:dyDescent="0.2">
      <c r="L908" s="40"/>
    </row>
    <row r="909" spans="12:12" ht="12.75" x14ac:dyDescent="0.2">
      <c r="L909" s="40"/>
    </row>
    <row r="910" spans="12:12" ht="12.75" x14ac:dyDescent="0.2">
      <c r="L910" s="40"/>
    </row>
    <row r="911" spans="12:12" ht="12.75" x14ac:dyDescent="0.2">
      <c r="L911" s="40"/>
    </row>
    <row r="912" spans="12:12" ht="12.75" x14ac:dyDescent="0.2">
      <c r="L912" s="40"/>
    </row>
    <row r="913" spans="12:12" ht="12.75" x14ac:dyDescent="0.2">
      <c r="L913" s="40"/>
    </row>
    <row r="914" spans="12:12" ht="12.75" x14ac:dyDescent="0.2">
      <c r="L914" s="40"/>
    </row>
    <row r="915" spans="12:12" ht="12.75" x14ac:dyDescent="0.2">
      <c r="L915" s="40"/>
    </row>
    <row r="916" spans="12:12" ht="12.75" x14ac:dyDescent="0.2">
      <c r="L916" s="40"/>
    </row>
    <row r="917" spans="12:12" ht="12.75" x14ac:dyDescent="0.2">
      <c r="L917" s="40"/>
    </row>
    <row r="918" spans="12:12" ht="12.75" x14ac:dyDescent="0.2">
      <c r="L918" s="40"/>
    </row>
    <row r="919" spans="12:12" ht="12.75" x14ac:dyDescent="0.2">
      <c r="L919" s="40"/>
    </row>
    <row r="920" spans="12:12" ht="12.75" x14ac:dyDescent="0.2">
      <c r="L920" s="40"/>
    </row>
    <row r="921" spans="12:12" ht="12.75" x14ac:dyDescent="0.2">
      <c r="L921" s="40"/>
    </row>
    <row r="922" spans="12:12" ht="12.75" x14ac:dyDescent="0.2">
      <c r="L922" s="40"/>
    </row>
    <row r="923" spans="12:12" ht="12.75" x14ac:dyDescent="0.2">
      <c r="L923" s="40"/>
    </row>
    <row r="924" spans="12:12" ht="12.75" x14ac:dyDescent="0.2">
      <c r="L924" s="40"/>
    </row>
    <row r="925" spans="12:12" ht="12.75" x14ac:dyDescent="0.2">
      <c r="L925" s="40"/>
    </row>
    <row r="926" spans="12:12" ht="12.75" x14ac:dyDescent="0.2">
      <c r="L926" s="40"/>
    </row>
    <row r="927" spans="12:12" ht="12.75" x14ac:dyDescent="0.2">
      <c r="L927" s="40"/>
    </row>
    <row r="928" spans="12:12" ht="12.75" x14ac:dyDescent="0.2">
      <c r="L928" s="40"/>
    </row>
    <row r="929" spans="12:12" ht="12.75" x14ac:dyDescent="0.2">
      <c r="L929" s="40"/>
    </row>
    <row r="930" spans="12:12" ht="12.75" x14ac:dyDescent="0.2">
      <c r="L930" s="40"/>
    </row>
    <row r="931" spans="12:12" ht="12.75" x14ac:dyDescent="0.2">
      <c r="L931" s="40"/>
    </row>
    <row r="932" spans="12:12" ht="12.75" x14ac:dyDescent="0.2">
      <c r="L932" s="40"/>
    </row>
    <row r="933" spans="12:12" ht="12.75" x14ac:dyDescent="0.2">
      <c r="L933" s="40"/>
    </row>
    <row r="934" spans="12:12" ht="12.75" x14ac:dyDescent="0.2">
      <c r="L934" s="40"/>
    </row>
    <row r="935" spans="12:12" ht="12.75" x14ac:dyDescent="0.2">
      <c r="L935" s="40"/>
    </row>
    <row r="936" spans="12:12" ht="12.75" x14ac:dyDescent="0.2">
      <c r="L936" s="40"/>
    </row>
    <row r="937" spans="12:12" ht="12.75" x14ac:dyDescent="0.2">
      <c r="L937" s="40"/>
    </row>
    <row r="938" spans="12:12" ht="12.75" x14ac:dyDescent="0.2">
      <c r="L938" s="40"/>
    </row>
    <row r="939" spans="12:12" ht="12.75" x14ac:dyDescent="0.2">
      <c r="L939" s="40"/>
    </row>
    <row r="940" spans="12:12" ht="12.75" x14ac:dyDescent="0.2">
      <c r="L940" s="40"/>
    </row>
    <row r="941" spans="12:12" ht="12.75" x14ac:dyDescent="0.2">
      <c r="L941" s="40"/>
    </row>
    <row r="942" spans="12:12" ht="12.75" x14ac:dyDescent="0.2">
      <c r="L942" s="40"/>
    </row>
    <row r="943" spans="12:12" ht="12.75" x14ac:dyDescent="0.2">
      <c r="L943" s="40"/>
    </row>
    <row r="944" spans="12:12" ht="12.75" x14ac:dyDescent="0.2">
      <c r="L944" s="40"/>
    </row>
    <row r="945" spans="12:12" ht="12.75" x14ac:dyDescent="0.2">
      <c r="L945" s="40"/>
    </row>
    <row r="946" spans="12:12" ht="12.75" x14ac:dyDescent="0.2">
      <c r="L946" s="40"/>
    </row>
    <row r="947" spans="12:12" ht="12.75" x14ac:dyDescent="0.2">
      <c r="L947" s="40"/>
    </row>
    <row r="948" spans="12:12" ht="12.75" x14ac:dyDescent="0.2">
      <c r="L948" s="40"/>
    </row>
    <row r="949" spans="12:12" ht="12.75" x14ac:dyDescent="0.2">
      <c r="L949" s="40"/>
    </row>
    <row r="950" spans="12:12" ht="12.75" x14ac:dyDescent="0.2">
      <c r="L950" s="40"/>
    </row>
    <row r="951" spans="12:12" ht="12.75" x14ac:dyDescent="0.2">
      <c r="L951" s="40"/>
    </row>
    <row r="952" spans="12:12" ht="12.75" x14ac:dyDescent="0.2">
      <c r="L952" s="40"/>
    </row>
    <row r="953" spans="12:12" ht="12.75" x14ac:dyDescent="0.2">
      <c r="L953" s="40"/>
    </row>
    <row r="954" spans="12:12" ht="12.75" x14ac:dyDescent="0.2">
      <c r="L954" s="40"/>
    </row>
    <row r="955" spans="12:12" ht="12.75" x14ac:dyDescent="0.2">
      <c r="L955" s="40"/>
    </row>
    <row r="956" spans="12:12" ht="12.75" x14ac:dyDescent="0.2">
      <c r="L956" s="40"/>
    </row>
    <row r="957" spans="12:12" ht="12.75" x14ac:dyDescent="0.2">
      <c r="L957" s="40"/>
    </row>
    <row r="958" spans="12:12" ht="12.75" x14ac:dyDescent="0.2">
      <c r="L958" s="40"/>
    </row>
    <row r="959" spans="12:12" ht="12.75" x14ac:dyDescent="0.2">
      <c r="L959" s="40"/>
    </row>
    <row r="960" spans="12:12" ht="12.75" x14ac:dyDescent="0.2">
      <c r="L960" s="40"/>
    </row>
    <row r="961" spans="12:12" ht="12.75" x14ac:dyDescent="0.2">
      <c r="L961" s="40"/>
    </row>
    <row r="962" spans="12:12" ht="12.75" x14ac:dyDescent="0.2">
      <c r="L962" s="40"/>
    </row>
    <row r="963" spans="12:12" ht="12.75" x14ac:dyDescent="0.2">
      <c r="L963" s="40"/>
    </row>
    <row r="964" spans="12:12" ht="12.75" x14ac:dyDescent="0.2">
      <c r="L964" s="40"/>
    </row>
    <row r="965" spans="12:12" ht="12.75" x14ac:dyDescent="0.2">
      <c r="L965" s="40"/>
    </row>
    <row r="966" spans="12:12" ht="12.75" x14ac:dyDescent="0.2">
      <c r="L966" s="40"/>
    </row>
    <row r="967" spans="12:12" ht="12.75" x14ac:dyDescent="0.2">
      <c r="L967" s="40"/>
    </row>
    <row r="968" spans="12:12" ht="12.75" x14ac:dyDescent="0.2">
      <c r="L968" s="40"/>
    </row>
    <row r="969" spans="12:12" ht="12.75" x14ac:dyDescent="0.2">
      <c r="L969" s="40"/>
    </row>
    <row r="970" spans="12:12" ht="12.75" x14ac:dyDescent="0.2">
      <c r="L970" s="40"/>
    </row>
    <row r="971" spans="12:12" ht="12.75" x14ac:dyDescent="0.2">
      <c r="L971" s="40"/>
    </row>
    <row r="972" spans="12:12" ht="12.75" x14ac:dyDescent="0.2">
      <c r="L972" s="40"/>
    </row>
    <row r="973" spans="12:12" ht="12.75" x14ac:dyDescent="0.2">
      <c r="L973" s="40"/>
    </row>
    <row r="974" spans="12:12" ht="12.75" x14ac:dyDescent="0.2">
      <c r="L974" s="40"/>
    </row>
    <row r="975" spans="12:12" ht="12.75" x14ac:dyDescent="0.2">
      <c r="L975" s="40"/>
    </row>
    <row r="976" spans="12:12" ht="12.75" x14ac:dyDescent="0.2">
      <c r="L976" s="40"/>
    </row>
    <row r="977" spans="12:12" ht="12.75" x14ac:dyDescent="0.2">
      <c r="L977" s="40"/>
    </row>
    <row r="978" spans="12:12" ht="12.75" x14ac:dyDescent="0.2">
      <c r="L978" s="40"/>
    </row>
    <row r="979" spans="12:12" ht="12.75" x14ac:dyDescent="0.2">
      <c r="L979" s="40"/>
    </row>
    <row r="980" spans="12:12" ht="12.75" x14ac:dyDescent="0.2">
      <c r="L980" s="40"/>
    </row>
    <row r="981" spans="12:12" ht="12.75" x14ac:dyDescent="0.2">
      <c r="L981" s="40"/>
    </row>
    <row r="982" spans="12:12" ht="12.75" x14ac:dyDescent="0.2">
      <c r="L982" s="40"/>
    </row>
    <row r="983" spans="12:12" ht="12.75" x14ac:dyDescent="0.2">
      <c r="L983" s="40"/>
    </row>
    <row r="984" spans="12:12" ht="12.75" x14ac:dyDescent="0.2">
      <c r="L984" s="40"/>
    </row>
    <row r="985" spans="12:12" ht="12.75" x14ac:dyDescent="0.2">
      <c r="L985" s="40"/>
    </row>
    <row r="986" spans="12:12" ht="12.75" x14ac:dyDescent="0.2">
      <c r="L986" s="40"/>
    </row>
    <row r="987" spans="12:12" ht="12.75" x14ac:dyDescent="0.2">
      <c r="L987" s="40"/>
    </row>
    <row r="988" spans="12:12" ht="12.75" x14ac:dyDescent="0.2">
      <c r="L988" s="40"/>
    </row>
    <row r="989" spans="12:12" ht="12.75" x14ac:dyDescent="0.2">
      <c r="L989" s="40"/>
    </row>
    <row r="990" spans="12:12" ht="12.75" x14ac:dyDescent="0.2">
      <c r="L990" s="40"/>
    </row>
    <row r="991" spans="12:12" ht="12.75" x14ac:dyDescent="0.2">
      <c r="L991" s="40"/>
    </row>
    <row r="992" spans="12:12" ht="12.75" x14ac:dyDescent="0.2">
      <c r="L992" s="40"/>
    </row>
    <row r="993" spans="12:12" ht="12.75" x14ac:dyDescent="0.2">
      <c r="L993" s="40"/>
    </row>
    <row r="994" spans="12:12" ht="12.75" x14ac:dyDescent="0.2">
      <c r="L994" s="40"/>
    </row>
    <row r="995" spans="12:12" ht="12.75" x14ac:dyDescent="0.2">
      <c r="L995" s="40"/>
    </row>
    <row r="996" spans="12:12" ht="12.75" x14ac:dyDescent="0.2">
      <c r="L996" s="40"/>
    </row>
    <row r="997" spans="12:12" ht="12.75" x14ac:dyDescent="0.2">
      <c r="L997" s="40"/>
    </row>
    <row r="998" spans="12:12" ht="12.75" x14ac:dyDescent="0.2">
      <c r="L998" s="40"/>
    </row>
    <row r="999" spans="12:12" ht="12.75" x14ac:dyDescent="0.2">
      <c r="L999" s="40"/>
    </row>
    <row r="1000" spans="12:12" ht="12.75" x14ac:dyDescent="0.2">
      <c r="L1000" s="40"/>
    </row>
    <row r="1001" spans="12:12" ht="12.75" x14ac:dyDescent="0.2">
      <c r="L1001" s="40"/>
    </row>
    <row r="1002" spans="12:12" ht="12.75" x14ac:dyDescent="0.2">
      <c r="L1002" s="40"/>
    </row>
    <row r="1003" spans="12:12" ht="12.75" x14ac:dyDescent="0.2">
      <c r="L1003" s="40"/>
    </row>
  </sheetData>
  <autoFilter ref="B1:L125" xr:uid="{00000000-0009-0000-0000-000001000000}"/>
  <mergeCells count="36">
    <mergeCell ref="M4:N4"/>
    <mergeCell ref="P4:Q4"/>
    <mergeCell ref="S4:T4"/>
    <mergeCell ref="M5:N5"/>
    <mergeCell ref="S5:T5"/>
    <mergeCell ref="M6:N6"/>
    <mergeCell ref="M7:N7"/>
    <mergeCell ref="M8:N8"/>
    <mergeCell ref="M9:N9"/>
    <mergeCell ref="M10:N10"/>
    <mergeCell ref="V9:W9"/>
    <mergeCell ref="V10:W10"/>
    <mergeCell ref="P5:Q5"/>
    <mergeCell ref="P6:Q6"/>
    <mergeCell ref="P7:Q7"/>
    <mergeCell ref="P8:Q8"/>
    <mergeCell ref="P9:Q9"/>
    <mergeCell ref="P10:Q10"/>
    <mergeCell ref="S7:T7"/>
    <mergeCell ref="S8:T8"/>
    <mergeCell ref="S9:T9"/>
    <mergeCell ref="S10:T10"/>
    <mergeCell ref="S6:T6"/>
    <mergeCell ref="V4:W4"/>
    <mergeCell ref="V5:W5"/>
    <mergeCell ref="V6:W6"/>
    <mergeCell ref="V7:W7"/>
    <mergeCell ref="V8:W8"/>
    <mergeCell ref="M2:N2"/>
    <mergeCell ref="P2:Q2"/>
    <mergeCell ref="S2:T2"/>
    <mergeCell ref="V2:W2"/>
    <mergeCell ref="P3:Q3"/>
    <mergeCell ref="S3:T3"/>
    <mergeCell ref="V3:W3"/>
    <mergeCell ref="M3:N3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Durou Rmthn</cp:lastModifiedBy>
  <dcterms:modified xsi:type="dcterms:W3CDTF">2026-05-01T22:04:19Z</dcterms:modified>
</cp:coreProperties>
</file>